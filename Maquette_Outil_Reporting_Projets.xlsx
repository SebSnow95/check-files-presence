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Dashboard" sheetId="2" state="visible" r:id="rId2"/>
    <sheet name="Config" sheetId="3" state="visible" r:id="rId3"/>
    <sheet name="DB_Elements" sheetId="4" state="visible" r:id="rId4"/>
    <sheet name="DB_Journal" sheetId="5" state="visible" r:id="rId5"/>
    <sheet name="Rapport_EUS" sheetId="6" state="visible" r:id="rId6"/>
    <sheet name="Rapport_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1F4E78"/>
      <sz val="11"/>
    </font>
    <font>
      <b val="1"/>
      <color rgb="00FFFFFF"/>
    </font>
    <font>
      <i val="1"/>
      <color rgb="00808080"/>
      <sz val="9"/>
    </font>
    <font>
      <i val="1"/>
      <color rgb="00808080"/>
    </font>
    <font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Projets actifs et risques critiques par scope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>
              <a:prstDash val="solid"/>
            </a:ln>
          </spPr>
          <cat>
            <numRef>
              <f>'Dashboard'!$B$6:$B$7</f>
            </numRef>
          </cat>
          <val>
            <numRef>
              <f>'Dashboard'!$C$6:$C$7</f>
            </numRef>
          </val>
        </ser>
        <ser>
          <idx val="1"/>
          <order val="1"/>
          <tx>
            <strRef>
              <f>'Dashboard'!D5</f>
            </strRef>
          </tx>
          <spPr>
            <a:ln>
              <a:prstDash val="solid"/>
            </a:ln>
          </spPr>
          <cat>
            <numRef>
              <f>'Dashboard'!$B$6:$B$7</f>
            </numRef>
          </cat>
          <val>
            <numRef>
              <f>'Dashboard'!$D$6:$D$7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copes" displayName="T_Scopes" ref="A7:C9" headerRowCount="1">
  <autoFilter ref="A7:C9"/>
  <tableColumns count="3">
    <tableColumn id="1" name="Code"/>
    <tableColumn id="2" name="Nom"/>
    <tableColumn id="3" name="Sensibilite"/>
  </tableColumns>
  <tableStyleInfo name="TableStyleMedium2" showRowStripes="1"/>
</table>
</file>

<file path=xl/tables/table2.xml><?xml version="1.0" encoding="utf-8"?>
<table xmlns="http://schemas.openxmlformats.org/spreadsheetml/2006/main" id="2" name="T_SectionOrder" displayName="T_SectionOrder" ref="A12:E20" headerRowCount="1">
  <autoFilter ref="A12:E20"/>
  <tableColumns count="5">
    <tableColumn id="1" name="Section"/>
    <tableColumn id="2" name="Ordre"/>
    <tableColumn id="3" name="Label1"/>
    <tableColumn id="4" name="Label2"/>
    <tableColumn id="5" name="LabelSection"/>
  </tableColumns>
  <tableStyleInfo name="TableStyleMedium2" showRowStripes="1"/>
</table>
</file>

<file path=xl/tables/table3.xml><?xml version="1.0" encoding="utf-8"?>
<table xmlns="http://schemas.openxmlformats.org/spreadsheetml/2006/main" id="3" name="T_Elements" displayName="T_Elements" ref="A1:S15" headerRowCount="1">
  <autoFilter ref="A1:S15"/>
  <tableColumns count="19">
    <tableColumn id="1" name="ID"/>
    <tableColumn id="2" name="Scope"/>
    <tableColumn id="3" name="Section"/>
    <tableColumn id="4" name="NumeroAffiche"/>
    <tableColumn id="5" name="Titre"/>
    <tableColumn id="6" name="Statut"/>
    <tableColumn id="7" name="Owner"/>
    <tableColumn id="8" name="Probabilite"/>
    <tableColumn id="9" name="ImpactPotentiel"/>
    <tableColumn id="10" name="ChampFixe1"/>
    <tableColumn id="11" name="ChampFixe2"/>
    <tableColumn id="12" name="DateCreation"/>
    <tableColumn id="13" name="DateCloture"/>
    <tableColumn id="14" name="JournalAgrege"/>
    <tableColumn id="15" name="MAJSemaineCourante"/>
    <tableColumn id="16" name="OrdreSection"/>
    <tableColumn id="17" name="Libelle1Complet"/>
    <tableColumn id="18" name="Libelle2Complet"/>
    <tableColumn id="19" name="SectionLabelComplet"/>
  </tableColumns>
  <tableStyleInfo name="TableStyleMedium9" showRowStripes="1"/>
</table>
</file>

<file path=xl/tables/table4.xml><?xml version="1.0" encoding="utf-8"?>
<table xmlns="http://schemas.openxmlformats.org/spreadsheetml/2006/main" id="4" name="T_Journal" displayName="T_Journal" ref="A1:G37" headerRowCount="1">
  <autoFilter ref="A1:G37"/>
  <tableColumns count="7">
    <tableColumn id="1" name="JournalID"/>
    <tableColumn id="2" name="ElementID"/>
    <tableColumn id="3" name="Date"/>
    <tableColumn id="4" name="Semaine"/>
    <tableColumn id="5" name="Auteur"/>
    <tableColumn id="6" name="Texte"/>
    <tableColumn id="7" name="Lign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10" customWidth="1" min="2" max="2"/>
  </cols>
  <sheetData>
    <row r="1"/>
    <row r="2">
      <c r="B2" s="1" t="inlineStr">
        <is>
          <t>Maquette — Outil de Reporting Hebdomadaire de Projets</t>
        </is>
      </c>
    </row>
    <row r="3"/>
    <row r="4"/>
    <row r="5">
      <c r="B5" s="2" t="inlineStr">
        <is>
          <t>Principe</t>
        </is>
      </c>
    </row>
    <row r="6" ht="45" customHeight="1">
      <c r="B6" s="3" t="inlineStr">
        <is>
          <t>Les données (projets, incidents, décisions, risques, opportunités, besoins, finance, autres) sont saisies UNE SEULE FOIS dans les feuilles DB_Elements et DB_Journal. Les feuilles Rapport_EUS et Rapport_MA sont des VUES CALCULÉES : ne rien saisir dedans, tout se met à jour automatiquement.</t>
        </is>
      </c>
    </row>
    <row r="7"/>
    <row r="8"/>
    <row r="9">
      <c r="B9" s="2" t="inlineStr">
        <is>
          <t>Pour ajouter un nouvel élément (projet, risque, incident...)</t>
        </is>
      </c>
    </row>
    <row r="10" ht="45" customHeight="1">
      <c r="B10" s="3" t="inlineStr">
        <is>
          <t>Ajouter une ligne dans le tableau T_Elements (feuille DB_Elements) : ID unique (ex. E016), Scope, Section, Titre, Statut, Owner, et les deux champs libres (leur libellé s'adapte automatiquement selon la Section, voir Config/T_SectionOrder).</t>
        </is>
      </c>
    </row>
    <row r="11"/>
    <row r="12"/>
    <row r="13">
      <c r="B13" s="2" t="inlineStr">
        <is>
          <t>Pour ajouter une mise à jour hebdomadaire (ce qui remplace les "Update DD/MM" empilés à la main)</t>
        </is>
      </c>
    </row>
    <row r="14" ht="45" customHeight="1">
      <c r="B14" s="3" t="inlineStr">
        <is>
          <t>Ajouter une ligne dans le tableau T_Journal (feuille DB_Journal) : ElementID (l'ID de l'élément concerné), Date, Auteur, Texte. La colonne Ligne et l'agrégation dans le rapport se recalculent seules.</t>
        </is>
      </c>
    </row>
    <row r="15"/>
    <row r="16"/>
    <row r="17">
      <c r="B17" s="2" t="inlineStr">
        <is>
          <t>Nouveauté de la semaine</t>
        </is>
      </c>
    </row>
    <row r="18" ht="45" customHeight="1">
      <c r="B18" s="3" t="inlineStr">
        <is>
          <t>Le seuil de date (Config!C3) définit le début de la semaine de référence (Config!C2). Tout élément dont la dernière entrée de journal est postérieure ou égale à ce seuil est surligné automatiquement dans Rapport_EUS / Rapport_MA (colonne "MAJ semaine" + mise en forme conditionnelle).</t>
        </is>
      </c>
    </row>
    <row r="19"/>
    <row r="20"/>
    <row r="21">
      <c r="B21" s="2" t="inlineStr">
        <is>
          <t>Clôturer un élément</t>
        </is>
      </c>
    </row>
    <row r="22" ht="45" customHeight="1">
      <c r="B22" s="3" t="inlineStr">
        <is>
          <t>Passer son Statut à "Clôturé" ou "Annulé" dans DB_Elements : il sort naturellement de la mise en avant mais reste consultable (rien n'est supprimé, l'historique du journal est conservé).</t>
        </is>
      </c>
    </row>
    <row r="23"/>
    <row r="24"/>
    <row r="25">
      <c r="B25" s="2" t="inlineStr">
        <is>
          <t>Tableau de bord</t>
        </is>
      </c>
    </row>
    <row r="26" ht="45" customHeight="1">
      <c r="B26" s="3" t="inlineStr">
        <is>
          <t>La feuille Dashboard consolide tous les scopes : projets actifs, risques critiques (Probabilité=High ET Impact=High), incidents ouverts, éléments mis à jour cette semaine.</t>
        </is>
      </c>
    </row>
    <row r="27"/>
    <row r="28"/>
    <row r="29">
      <c r="B29" s="2" t="inlineStr">
        <is>
          <t>Pré-requis technique</t>
        </is>
      </c>
    </row>
    <row r="30" ht="45" customHeight="1">
      <c r="B30" s="3" t="inlineStr">
        <is>
          <t>Ce classeur utilise des fonctions dynamiques (FILTER, SORTBY, XLOOKUP, HSTACK, TEXTJOIN) : Excel 365 ou Excel 2021+. Sur une version antérieure, ces formules devront être remplacées par un rafraîchissement Power Query (voir §5.3 et §8 du cahier des charges).</t>
        </is>
      </c>
    </row>
    <row r="31"/>
    <row r="32"/>
    <row r="33">
      <c r="B33" s="2" t="inlineStr">
        <is>
          <t>Portée de la maquette</t>
        </is>
      </c>
    </row>
    <row r="34" ht="45" customHeight="1">
      <c r="B34" s="3" t="inlineStr">
        <is>
          <t>Cette maquette valide le MÉCANISME (modèle de données, historisation, filtrage par scope, détection des nouveautés, KPI). La mise en page finale imprimable pixel-identique au gabarit PDF d'origine (sections encadrées, bandeau de confidentialité en pied de page, etc.) est une étape de mise en forme/export complémentaire, non nécessaire pour valider le modèle.</t>
        </is>
      </c>
    </row>
    <row r="35"/>
    <row r="36"/>
    <row r="37">
      <c r="B37" s="2" t="inlineStr">
        <is>
          <t>Voir aussi</t>
        </is>
      </c>
    </row>
    <row r="38" ht="45" customHeight="1">
      <c r="B38" s="3" t="inlineStr">
        <is>
          <t>Specifications_Outil_Reporting_Projets.md (cahier des charges détaillé, section 11 = correspondance avec cette maquette).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6" customWidth="1" min="4" max="4"/>
    <col width="18" customWidth="1" min="5" max="5"/>
    <col width="16" customWidth="1" min="6" max="6"/>
  </cols>
  <sheetData>
    <row r="1"/>
    <row r="2">
      <c r="B2" s="1" t="inlineStr">
        <is>
          <t>Tableau de bord — tous scopes</t>
        </is>
      </c>
    </row>
    <row r="3">
      <c r="B3" s="9">
        <f>"Semaine de reference : "&amp;Config!$C$2</f>
        <v/>
      </c>
    </row>
    <row r="4"/>
    <row r="5">
      <c r="B5" s="7" t="inlineStr">
        <is>
          <t>Scope</t>
        </is>
      </c>
      <c r="C5" s="7" t="inlineStr">
        <is>
          <t>Projets actifs</t>
        </is>
      </c>
      <c r="D5" s="7" t="inlineStr">
        <is>
          <t>Risques critiques (High/High)</t>
        </is>
      </c>
      <c r="E5" s="7" t="inlineStr">
        <is>
          <t>Incidents ouverts</t>
        </is>
      </c>
      <c r="F5" s="7" t="inlineStr">
        <is>
          <t>MAJ cette semaine</t>
        </is>
      </c>
    </row>
    <row r="6">
      <c r="B6" t="inlineStr">
        <is>
          <t>EUS</t>
        </is>
      </c>
      <c r="C6">
        <f>COUNTIFS(T_Elements[Scope],"EUS",T_Elements[Section],"Projet",T_Elements[Statut],"Actif")</f>
        <v/>
      </c>
      <c r="D6">
        <f>COUNTIFS(T_Elements[Scope],"EUS",T_Elements[Section],"Risque",T_Elements[Probabilite],"High",T_Elements[ImpactPotentiel],"High")</f>
        <v/>
      </c>
      <c r="E6">
        <f>COUNTIFS(T_Elements[Scope],"EUS",T_Elements[Section],"Incident",T_Elements[Statut],"Actif")</f>
        <v/>
      </c>
      <c r="F6">
        <f>COUNTIFS(T_Elements[Scope],"EUS",T_Elements[MAJSemaineCourante],TRUE)</f>
        <v/>
      </c>
    </row>
    <row r="7">
      <c r="B7" t="inlineStr">
        <is>
          <t>M&amp;A</t>
        </is>
      </c>
      <c r="C7">
        <f>COUNTIFS(T_Elements[Scope],"MA",T_Elements[Section],"Projet",T_Elements[Statut],"Actif")</f>
        <v/>
      </c>
      <c r="D7">
        <f>COUNTIFS(T_Elements[Scope],"MA",T_Elements[Section],"Risque",T_Elements[Probabilite],"High",T_Elements[ImpactPotentiel],"High")</f>
        <v/>
      </c>
      <c r="E7">
        <f>COUNTIFS(T_Elements[Scope],"MA",T_Elements[Section],"Incident",T_Elements[Statut],"Actif")</f>
        <v/>
      </c>
      <c r="F7">
        <f>COUNTIFS(T_Elements[Scope],"MA",T_Elements[MAJSemaineCourante],TRUE)</f>
        <v/>
      </c>
    </row>
    <row r="8">
      <c r="B8" s="4" t="inlineStr">
        <is>
          <t>Total</t>
        </is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B28" s="6" t="inlineStr">
        <is>
          <t>Alerte : elements sans mise a jour depuis plus de 3 semaines</t>
        </is>
      </c>
    </row>
    <row r="29">
      <c r="B29" s="10">
        <f>COUNTIFS(T_Elements[Statut],"Actif",T_Elements[MAJSemaineCourante],FALSE)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34" customWidth="1" min="2" max="2"/>
    <col width="24" customWidth="1" min="3" max="3"/>
    <col width="30" customWidth="1" min="4" max="4"/>
    <col width="34" customWidth="1" min="5" max="5"/>
  </cols>
  <sheetData>
    <row r="1">
      <c r="A1" s="1" t="inlineStr">
        <is>
          <t>Paramètres</t>
        </is>
      </c>
    </row>
    <row r="2">
      <c r="B2" s="4" t="inlineStr">
        <is>
          <t>Semaine de référence (n°)</t>
        </is>
      </c>
      <c r="C2" t="inlineStr">
        <is>
          <t>S28</t>
        </is>
      </c>
    </row>
    <row r="3">
      <c r="B3" s="4" t="inlineStr">
        <is>
          <t>Début de la semaine de référence (date)</t>
        </is>
      </c>
      <c r="C3" s="5" t="n">
        <v>46216</v>
      </c>
    </row>
    <row r="4">
      <c r="B4" s="4" t="inlineStr">
        <is>
          <t>Année</t>
        </is>
      </c>
      <c r="C4" t="n">
        <v>2026</v>
      </c>
    </row>
    <row r="5"/>
    <row r="6">
      <c r="A6" s="6" t="inlineStr">
        <is>
          <t>Scopes</t>
        </is>
      </c>
    </row>
    <row r="7">
      <c r="A7" t="inlineStr">
        <is>
          <t>Code</t>
        </is>
      </c>
      <c r="B7" t="inlineStr">
        <is>
          <t>Nom</t>
        </is>
      </c>
      <c r="C7" t="inlineStr">
        <is>
          <t>Sensibilite</t>
        </is>
      </c>
    </row>
    <row r="8">
      <c r="A8" t="inlineStr">
        <is>
          <t>EUS</t>
        </is>
      </c>
      <c r="B8" t="inlineStr">
        <is>
          <t>EUS</t>
        </is>
      </c>
      <c r="C8" t="inlineStr">
        <is>
          <t>C2-Restricted</t>
        </is>
      </c>
    </row>
    <row r="9">
      <c r="A9" t="inlineStr">
        <is>
          <t>MA</t>
        </is>
      </c>
      <c r="B9" t="inlineStr">
        <is>
          <t>M&amp;A</t>
        </is>
      </c>
      <c r="C9" t="inlineStr">
        <is>
          <t>C1-Internal</t>
        </is>
      </c>
    </row>
    <row r="10"/>
    <row r="11">
      <c r="A11" s="6" t="inlineStr">
        <is>
          <t>Ordre / libellés par Section</t>
        </is>
      </c>
    </row>
    <row r="12">
      <c r="A12" t="inlineStr">
        <is>
          <t>Section</t>
        </is>
      </c>
      <c r="B12" t="inlineStr">
        <is>
          <t>Ordre</t>
        </is>
      </c>
      <c r="C12" t="inlineStr">
        <is>
          <t>Label1</t>
        </is>
      </c>
      <c r="D12" t="inlineStr">
        <is>
          <t>Label2</t>
        </is>
      </c>
      <c r="E12" t="inlineStr">
        <is>
          <t>LabelSection</t>
        </is>
      </c>
    </row>
    <row r="13">
      <c r="A13" t="inlineStr">
        <is>
          <t>Projet</t>
        </is>
      </c>
      <c r="B13" t="n">
        <v>1</v>
      </c>
      <c r="C13" t="inlineStr">
        <is>
          <t>Achieved Objectives</t>
        </is>
      </c>
      <c r="D13" t="inlineStr">
        <is>
          <t>Next Steps</t>
        </is>
      </c>
      <c r="E13" t="inlineStr">
        <is>
          <t>1. Weekly Progress</t>
        </is>
      </c>
    </row>
    <row r="14">
      <c r="A14" t="inlineStr">
        <is>
          <t>Incident</t>
        </is>
      </c>
      <c r="B14" t="n">
        <v>2</v>
      </c>
      <c r="C14" t="inlineStr">
        <is>
          <t>Impact</t>
        </is>
      </c>
      <c r="D14" t="inlineStr">
        <is>
          <t>Actions Taken / Current Status</t>
        </is>
      </c>
      <c r="E14" t="inlineStr">
        <is>
          <t>2. Major Events - Incidents</t>
        </is>
      </c>
    </row>
    <row r="15">
      <c r="A15" t="inlineStr">
        <is>
          <t>Decision</t>
        </is>
      </c>
      <c r="B15" t="n">
        <v>3</v>
      </c>
      <c r="C15" t="inlineStr">
        <is>
          <t>Reason</t>
        </is>
      </c>
      <c r="D15" t="inlineStr">
        <is>
          <t>Expected Impact</t>
        </is>
      </c>
      <c r="E15" t="inlineStr">
        <is>
          <t>2. Major Events - Decisions</t>
        </is>
      </c>
    </row>
    <row r="16">
      <c r="A16" t="inlineStr">
        <is>
          <t>Risque</t>
        </is>
      </c>
      <c r="B16" t="n">
        <v>4</v>
      </c>
      <c r="C16" t="inlineStr">
        <is>
          <t>Description du risque</t>
        </is>
      </c>
      <c r="D16" t="inlineStr">
        <is>
          <t>Mitigation Plan</t>
        </is>
      </c>
      <c r="E16" t="inlineStr">
        <is>
          <t>3. Risks and Opportunities - Risks</t>
        </is>
      </c>
    </row>
    <row r="17">
      <c r="A17" t="inlineStr">
        <is>
          <t>Opportunite</t>
        </is>
      </c>
      <c r="B17" t="n">
        <v>5</v>
      </c>
      <c r="C17" t="inlineStr">
        <is>
          <t>Expected Benefits</t>
        </is>
      </c>
      <c r="D17" t="inlineStr">
        <is>
          <t>Actions to be Taken</t>
        </is>
      </c>
      <c r="E17" t="inlineStr">
        <is>
          <t>3. Risks and Opportunities - Opportunities</t>
        </is>
      </c>
    </row>
    <row r="18">
      <c r="A18" t="inlineStr">
        <is>
          <t>Besoin</t>
        </is>
      </c>
      <c r="B18" t="n">
        <v>6</v>
      </c>
      <c r="C18" t="inlineStr">
        <is>
          <t>Description</t>
        </is>
      </c>
      <c r="D18" t="inlineStr">
        <is>
          <t>Support demande</t>
        </is>
      </c>
      <c r="E18" t="inlineStr">
        <is>
          <t>4. Needs and Support</t>
        </is>
      </c>
    </row>
    <row r="19">
      <c r="A19" t="inlineStr">
        <is>
          <t>Finance</t>
        </is>
      </c>
      <c r="B19" t="n">
        <v>7</v>
      </c>
      <c r="C19" t="inlineStr">
        <is>
          <t>Sujet</t>
        </is>
      </c>
      <c r="D19" t="inlineStr">
        <is>
          <t>Impact budgetaire</t>
        </is>
      </c>
      <c r="E19" t="inlineStr">
        <is>
          <t>5. Finance</t>
        </is>
      </c>
    </row>
    <row r="20">
      <c r="A20" t="inlineStr">
        <is>
          <t>Autre</t>
        </is>
      </c>
      <c r="B20" t="n">
        <v>8</v>
      </c>
      <c r="C20" t="inlineStr">
        <is>
          <t>Sujet</t>
        </is>
      </c>
      <c r="D20" t="inlineStr">
        <is>
          <t>Commentaire</t>
        </is>
      </c>
      <c r="E20" t="inlineStr">
        <is>
          <t>6. Other Information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8" customWidth="1" min="2" max="2"/>
    <col width="12" customWidth="1" min="3" max="3"/>
    <col width="14" customWidth="1" min="4" max="4"/>
    <col width="32" customWidth="1" min="5" max="5"/>
    <col width="12" customWidth="1" min="6" max="6"/>
    <col width="18" customWidth="1" min="7" max="7"/>
    <col width="12" customWidth="1" min="8" max="8"/>
    <col width="14" customWidth="1" min="9" max="9"/>
    <col width="40" customWidth="1" min="10" max="10"/>
    <col width="40" customWidth="1" min="11" max="11"/>
    <col width="13" customWidth="1" min="12" max="12"/>
    <col width="13" customWidth="1" min="13" max="13"/>
    <col width="55" customWidth="1" min="14" max="14"/>
    <col width="15" customWidth="1" min="15" max="15"/>
    <col width="12" customWidth="1" min="16" max="16"/>
    <col width="45" customWidth="1" min="17" max="17"/>
    <col width="45" customWidth="1" min="18" max="18"/>
    <col width="30" customWidth="1" min="19" max="19"/>
  </cols>
  <sheetData>
    <row r="1">
      <c r="A1" t="inlineStr">
        <is>
          <t>ID</t>
        </is>
      </c>
      <c r="B1" t="inlineStr">
        <is>
          <t>Scope</t>
        </is>
      </c>
      <c r="C1" t="inlineStr">
        <is>
          <t>Section</t>
        </is>
      </c>
      <c r="D1" t="inlineStr">
        <is>
          <t>NumeroAffiche</t>
        </is>
      </c>
      <c r="E1" t="inlineStr">
        <is>
          <t>Titre</t>
        </is>
      </c>
      <c r="F1" t="inlineStr">
        <is>
          <t>Statut</t>
        </is>
      </c>
      <c r="G1" t="inlineStr">
        <is>
          <t>Owner</t>
        </is>
      </c>
      <c r="H1" t="inlineStr">
        <is>
          <t>Probabilite</t>
        </is>
      </c>
      <c r="I1" t="inlineStr">
        <is>
          <t>ImpactPotentiel</t>
        </is>
      </c>
      <c r="J1" t="inlineStr">
        <is>
          <t>ChampFixe1</t>
        </is>
      </c>
      <c r="K1" t="inlineStr">
        <is>
          <t>ChampFixe2</t>
        </is>
      </c>
      <c r="L1" t="inlineStr">
        <is>
          <t>DateCreation</t>
        </is>
      </c>
      <c r="M1" t="inlineStr">
        <is>
          <t>DateCloture</t>
        </is>
      </c>
      <c r="N1" t="inlineStr">
        <is>
          <t>JournalAgrege</t>
        </is>
      </c>
      <c r="O1" t="inlineStr">
        <is>
          <t>MAJSemaineCourante</t>
        </is>
      </c>
      <c r="P1" t="inlineStr">
        <is>
          <t>OrdreSection</t>
        </is>
      </c>
      <c r="Q1" t="inlineStr">
        <is>
          <t>Libelle1Complet</t>
        </is>
      </c>
      <c r="R1" t="inlineStr">
        <is>
          <t>Libelle2Complet</t>
        </is>
      </c>
      <c r="S1" t="inlineStr">
        <is>
          <t>SectionLabelComplet</t>
        </is>
      </c>
    </row>
    <row r="2">
      <c r="A2" t="inlineStr">
        <is>
          <t>E001</t>
        </is>
      </c>
      <c r="B2" t="inlineStr">
        <is>
          <t>EUS</t>
        </is>
      </c>
      <c r="C2" t="inlineStr">
        <is>
          <t>Projet</t>
        </is>
      </c>
      <c r="D2" t="inlineStr">
        <is>
          <t>Project 1</t>
        </is>
      </c>
      <c r="E2" t="inlineStr">
        <is>
          <t>Rationalisation du parc d'imprimantes</t>
        </is>
      </c>
      <c r="F2" t="inlineStr">
        <is>
          <t>Actif</t>
        </is>
      </c>
      <c r="G2" t="inlineStr">
        <is>
          <t>Responsable A</t>
        </is>
      </c>
      <c r="H2" t="inlineStr"/>
      <c r="I2" t="inlineStr"/>
      <c r="J2" s="3" t="inlineStr">
        <is>
          <t>Perimetre defini ; continuite de service assuree</t>
        </is>
      </c>
      <c r="K2" s="3" t="inlineStr">
        <is>
          <t>Point a faire avec la Finance</t>
        </is>
      </c>
      <c r="L2" s="5" t="n">
        <v>46027</v>
      </c>
      <c r="M2" s="5" t="n"/>
      <c r="N2" s="3">
        <f>IFERROR(_xlfn.TEXTJOIN(CHAR(10),TRUE,_xlfn.SORTBY(_xlfn._xlws.FILTER(T_Journal[Ligne],T_Journal[ElementID]=[@ID]),_xlfn._xlws.FILTER(T_Journal[Date],T_Journal[ElementID]=[@ID]),-1)),"")</f>
        <v/>
      </c>
      <c r="O2">
        <f>IFERROR(_xlfn.MAXIFS(T_Journal[Date],T_Journal[ElementID],[@ID])&gt;=Config!$C$3,FALSE)</f>
        <v/>
      </c>
      <c r="P2">
        <f>IFERROR(_xlfn.XLOOKUP([@Section],T_SectionOrder[Section],T_SectionOrder[Ordre]),99)</f>
        <v/>
      </c>
      <c r="Q2">
        <f>IFERROR(_xlfn.XLOOKUP([@Section],T_SectionOrder[Section],T_SectionOrder[Label1])&amp;": "&amp;[@ChampFixe1],[@ChampFixe1])</f>
        <v/>
      </c>
      <c r="R2">
        <f>IFERROR(_xlfn.XLOOKUP([@Section],T_SectionOrder[Section],T_SectionOrder[Label2])&amp;": "&amp;[@ChampFixe2],[@ChampFixe2])</f>
        <v/>
      </c>
      <c r="S2">
        <f>IFERROR(_xlfn.XLOOKUP([@Section],T_SectionOrder[Section],T_SectionOrder[LabelSection]),[@Section])</f>
        <v/>
      </c>
    </row>
    <row r="3">
      <c r="A3" t="inlineStr">
        <is>
          <t>E002</t>
        </is>
      </c>
      <c r="B3" t="inlineStr">
        <is>
          <t>EUS</t>
        </is>
      </c>
      <c r="C3" t="inlineStr">
        <is>
          <t>Projet</t>
        </is>
      </c>
      <c r="D3" t="inlineStr">
        <is>
          <t>Project 4</t>
        </is>
      </c>
      <c r="E3" t="inlineStr">
        <is>
          <t>Renouvellement contrat operateur mobile</t>
        </is>
      </c>
      <c r="F3" t="inlineStr">
        <is>
          <t>Actif</t>
        </is>
      </c>
      <c r="G3" t="inlineStr">
        <is>
          <t>Responsable A</t>
        </is>
      </c>
      <c r="H3" t="inlineStr"/>
      <c r="I3" t="inlineStr"/>
      <c r="J3" s="3" t="inlineStr">
        <is>
          <t>Perimetre du contrat revu ; premiere reunion avec l'operateur</t>
        </is>
      </c>
      <c r="K3" s="3" t="inlineStr">
        <is>
          <t>Finaliser l'etude sur la strategie des terminaux mobiles ; point avec le fabricant en cours</t>
        </is>
      </c>
      <c r="L3" s="5" t="n">
        <v>46027</v>
      </c>
      <c r="M3" s="5" t="n"/>
      <c r="N3" s="3">
        <f>IFERROR(_xlfn.TEXTJOIN(CHAR(10),TRUE,_xlfn.SORTBY(_xlfn._xlws.FILTER(T_Journal[Ligne],T_Journal[ElementID]=[@ID]),_xlfn._xlws.FILTER(T_Journal[Date],T_Journal[ElementID]=[@ID]),-1)),"")</f>
        <v/>
      </c>
      <c r="O3">
        <f>IFERROR(_xlfn.MAXIFS(T_Journal[Date],T_Journal[ElementID],[@ID])&gt;=Config!$C$3,FALSE)</f>
        <v/>
      </c>
      <c r="P3">
        <f>IFERROR(_xlfn.XLOOKUP([@Section],T_SectionOrder[Section],T_SectionOrder[Ordre]),99)</f>
        <v/>
      </c>
      <c r="Q3">
        <f>IFERROR(_xlfn.XLOOKUP([@Section],T_SectionOrder[Section],T_SectionOrder[Label1])&amp;": "&amp;[@ChampFixe1],[@ChampFixe1])</f>
        <v/>
      </c>
      <c r="R3">
        <f>IFERROR(_xlfn.XLOOKUP([@Section],T_SectionOrder[Section],T_SectionOrder[Label2])&amp;": "&amp;[@ChampFixe2],[@ChampFixe2])</f>
        <v/>
      </c>
      <c r="S3">
        <f>IFERROR(_xlfn.XLOOKUP([@Section],T_SectionOrder[Section],T_SectionOrder[LabelSection]),[@Section])</f>
        <v/>
      </c>
    </row>
    <row r="4">
      <c r="A4" t="inlineStr">
        <is>
          <t>E003</t>
        </is>
      </c>
      <c r="B4" t="inlineStr">
        <is>
          <t>EUS</t>
        </is>
      </c>
      <c r="C4" t="inlineStr">
        <is>
          <t>Projet</t>
        </is>
      </c>
      <c r="D4" t="inlineStr">
        <is>
          <t>Project 7</t>
        </is>
      </c>
      <c r="E4" t="inlineStr">
        <is>
          <t>Catalogue de laptops</t>
        </is>
      </c>
      <c r="F4" t="inlineStr">
        <is>
          <t>Actif</t>
        </is>
      </c>
      <c r="G4" t="inlineStr">
        <is>
          <t>Responsable A</t>
        </is>
      </c>
      <c r="H4" t="inlineStr"/>
      <c r="I4" t="inlineStr"/>
      <c r="J4" s="3" t="inlineStr">
        <is>
          <t>Nouveau catalogue defini pour les differents profils utilisateurs</t>
        </is>
      </c>
      <c r="K4" s="3" t="inlineStr">
        <is>
          <t>Passer les commandes</t>
        </is>
      </c>
      <c r="L4" s="5" t="n">
        <v>46027</v>
      </c>
      <c r="M4" s="5" t="n"/>
      <c r="N4" s="3">
        <f>IFERROR(_xlfn.TEXTJOIN(CHAR(10),TRUE,_xlfn.SORTBY(_xlfn._xlws.FILTER(T_Journal[Ligne],T_Journal[ElementID]=[@ID]),_xlfn._xlws.FILTER(T_Journal[Date],T_Journal[ElementID]=[@ID]),-1)),"")</f>
        <v/>
      </c>
      <c r="O4">
        <f>IFERROR(_xlfn.MAXIFS(T_Journal[Date],T_Journal[ElementID],[@ID])&gt;=Config!$C$3,FALSE)</f>
        <v/>
      </c>
      <c r="P4">
        <f>IFERROR(_xlfn.XLOOKUP([@Section],T_SectionOrder[Section],T_SectionOrder[Ordre]),99)</f>
        <v/>
      </c>
      <c r="Q4">
        <f>IFERROR(_xlfn.XLOOKUP([@Section],T_SectionOrder[Section],T_SectionOrder[Label1])&amp;": "&amp;[@ChampFixe1],[@ChampFixe1])</f>
        <v/>
      </c>
      <c r="R4">
        <f>IFERROR(_xlfn.XLOOKUP([@Section],T_SectionOrder[Section],T_SectionOrder[Label2])&amp;": "&amp;[@ChampFixe2],[@ChampFixe2])</f>
        <v/>
      </c>
      <c r="S4">
        <f>IFERROR(_xlfn.XLOOKUP([@Section],T_SectionOrder[Section],T_SectionOrder[LabelSection]),[@Section])</f>
        <v/>
      </c>
    </row>
    <row r="5">
      <c r="A5" t="inlineStr">
        <is>
          <t>E004</t>
        </is>
      </c>
      <c r="B5" t="inlineStr">
        <is>
          <t>EUS</t>
        </is>
      </c>
      <c r="C5" t="inlineStr">
        <is>
          <t>Incident</t>
        </is>
      </c>
      <c r="D5" t="inlineStr">
        <is>
          <t>Incident 4</t>
        </is>
      </c>
      <c r="E5" t="inlineStr">
        <is>
          <t>Perte d'un ordinateur portable (Collaborateur A)</t>
        </is>
      </c>
      <c r="F5" t="inlineStr">
        <is>
          <t>Actif</t>
        </is>
      </c>
      <c r="G5" t="inlineStr">
        <is>
          <t>Responsable A</t>
        </is>
      </c>
      <c r="H5" t="inlineStr"/>
      <c r="I5" t="inlineStr"/>
      <c r="J5" s="3" t="inlineStr">
        <is>
          <t>Donnees sensibles - materiel bloque a distance</t>
        </is>
      </c>
      <c r="K5" s="3" t="inlineStr">
        <is>
          <t>Revue reguliere de connexion reseau</t>
        </is>
      </c>
      <c r="L5" s="5" t="n">
        <v>46146</v>
      </c>
      <c r="M5" s="5" t="n"/>
      <c r="N5" s="3">
        <f>IFERROR(_xlfn.TEXTJOIN(CHAR(10),TRUE,_xlfn.SORTBY(_xlfn._xlws.FILTER(T_Journal[Ligne],T_Journal[ElementID]=[@ID]),_xlfn._xlws.FILTER(T_Journal[Date],T_Journal[ElementID]=[@ID]),-1)),"")</f>
        <v/>
      </c>
      <c r="O5">
        <f>IFERROR(_xlfn.MAXIFS(T_Journal[Date],T_Journal[ElementID],[@ID])&gt;=Config!$C$3,FALSE)</f>
        <v/>
      </c>
      <c r="P5">
        <f>IFERROR(_xlfn.XLOOKUP([@Section],T_SectionOrder[Section],T_SectionOrder[Ordre]),99)</f>
        <v/>
      </c>
      <c r="Q5">
        <f>IFERROR(_xlfn.XLOOKUP([@Section],T_SectionOrder[Section],T_SectionOrder[Label1])&amp;": "&amp;[@ChampFixe1],[@ChampFixe1])</f>
        <v/>
      </c>
      <c r="R5">
        <f>IFERROR(_xlfn.XLOOKUP([@Section],T_SectionOrder[Section],T_SectionOrder[Label2])&amp;": "&amp;[@ChampFixe2],[@ChampFixe2])</f>
        <v/>
      </c>
      <c r="S5">
        <f>IFERROR(_xlfn.XLOOKUP([@Section],T_SectionOrder[Section],T_SectionOrder[LabelSection]),[@Section])</f>
        <v/>
      </c>
    </row>
    <row r="6">
      <c r="A6" t="inlineStr">
        <is>
          <t>E005</t>
        </is>
      </c>
      <c r="B6" t="inlineStr">
        <is>
          <t>EUS</t>
        </is>
      </c>
      <c r="C6" t="inlineStr">
        <is>
          <t>Incident</t>
        </is>
      </c>
      <c r="D6" t="inlineStr">
        <is>
          <t>Incident 5</t>
        </is>
      </c>
      <c r="E6" t="inlineStr">
        <is>
          <t>Panne reseau - Site B</t>
        </is>
      </c>
      <c r="F6" t="inlineStr">
        <is>
          <t>Cloture</t>
        </is>
      </c>
      <c r="G6" t="inlineStr">
        <is>
          <t>Responsable A</t>
        </is>
      </c>
      <c r="H6" t="inlineStr"/>
      <c r="I6" t="inlineStr"/>
      <c r="J6" s="3" t="inlineStr">
        <is>
          <t>Certains points d'acces hors service suite a une coupure</t>
        </is>
      </c>
      <c r="K6" s="3" t="inlineStr"/>
      <c r="L6" s="5" t="n">
        <v>46171</v>
      </c>
      <c r="M6" s="5" t="n">
        <v>46188</v>
      </c>
      <c r="N6" s="3">
        <f>IFERROR(_xlfn.TEXTJOIN(CHAR(10),TRUE,_xlfn.SORTBY(_xlfn._xlws.FILTER(T_Journal[Ligne],T_Journal[ElementID]=[@ID]),_xlfn._xlws.FILTER(T_Journal[Date],T_Journal[ElementID]=[@ID]),-1)),"")</f>
        <v/>
      </c>
      <c r="O6">
        <f>IFERROR(_xlfn.MAXIFS(T_Journal[Date],T_Journal[ElementID],[@ID])&gt;=Config!$C$3,FALSE)</f>
        <v/>
      </c>
      <c r="P6">
        <f>IFERROR(_xlfn.XLOOKUP([@Section],T_SectionOrder[Section],T_SectionOrder[Ordre]),99)</f>
        <v/>
      </c>
      <c r="Q6">
        <f>IFERROR(_xlfn.XLOOKUP([@Section],T_SectionOrder[Section],T_SectionOrder[Label1])&amp;": "&amp;[@ChampFixe1],[@ChampFixe1])</f>
        <v/>
      </c>
      <c r="R6">
        <f>IFERROR(_xlfn.XLOOKUP([@Section],T_SectionOrder[Section],T_SectionOrder[Label2])&amp;": "&amp;[@ChampFixe2],[@ChampFixe2])</f>
        <v/>
      </c>
      <c r="S6">
        <f>IFERROR(_xlfn.XLOOKUP([@Section],T_SectionOrder[Section],T_SectionOrder[LabelSection]),[@Section])</f>
        <v/>
      </c>
    </row>
    <row r="7">
      <c r="A7" t="inlineStr">
        <is>
          <t>E006</t>
        </is>
      </c>
      <c r="B7" t="inlineStr">
        <is>
          <t>EUS</t>
        </is>
      </c>
      <c r="C7" t="inlineStr">
        <is>
          <t>Risque</t>
        </is>
      </c>
      <c r="D7" t="inlineStr">
        <is>
          <t>Risk 4</t>
        </is>
      </c>
      <c r="E7" t="inlineStr">
        <is>
          <t>Installation d'applications hors catalogue</t>
        </is>
      </c>
      <c r="F7" t="inlineStr">
        <is>
          <t>Actif</t>
        </is>
      </c>
      <c r="G7" t="inlineStr">
        <is>
          <t>Responsable A</t>
        </is>
      </c>
      <c r="H7" t="inlineStr">
        <is>
          <t>High</t>
        </is>
      </c>
      <c r="I7" t="inlineStr">
        <is>
          <t>Medium</t>
        </is>
      </c>
      <c r="J7" s="3" t="inlineStr">
        <is>
          <t>Absence de catalogue officiel d'applications autorisees sur poste corporate</t>
        </is>
      </c>
      <c r="K7" s="3" t="inlineStr">
        <is>
          <t>Retirer l'option libre-service ; construire un catalogue officiel</t>
        </is>
      </c>
      <c r="L7" s="5" t="n">
        <v>46066</v>
      </c>
      <c r="M7" s="5" t="n"/>
      <c r="N7" s="3">
        <f>IFERROR(_xlfn.TEXTJOIN(CHAR(10),TRUE,_xlfn.SORTBY(_xlfn._xlws.FILTER(T_Journal[Ligne],T_Journal[ElementID]=[@ID]),_xlfn._xlws.FILTER(T_Journal[Date],T_Journal[ElementID]=[@ID]),-1)),"")</f>
        <v/>
      </c>
      <c r="O7">
        <f>IFERROR(_xlfn.MAXIFS(T_Journal[Date],T_Journal[ElementID],[@ID])&gt;=Config!$C$3,FALSE)</f>
        <v/>
      </c>
      <c r="P7">
        <f>IFERROR(_xlfn.XLOOKUP([@Section],T_SectionOrder[Section],T_SectionOrder[Ordre]),99)</f>
        <v/>
      </c>
      <c r="Q7">
        <f>IFERROR(_xlfn.XLOOKUP([@Section],T_SectionOrder[Section],T_SectionOrder[Label1])&amp;": "&amp;[@ChampFixe1],[@ChampFixe1])</f>
        <v/>
      </c>
      <c r="R7">
        <f>IFERROR(_xlfn.XLOOKUP([@Section],T_SectionOrder[Section],T_SectionOrder[Label2])&amp;": "&amp;[@ChampFixe2],[@ChampFixe2])</f>
        <v/>
      </c>
      <c r="S7">
        <f>IFERROR(_xlfn.XLOOKUP([@Section],T_SectionOrder[Section],T_SectionOrder[LabelSection]),[@Section])</f>
        <v/>
      </c>
    </row>
    <row r="8">
      <c r="A8" t="inlineStr">
        <is>
          <t>E007</t>
        </is>
      </c>
      <c r="B8" t="inlineStr">
        <is>
          <t>EUS</t>
        </is>
      </c>
      <c r="C8" t="inlineStr">
        <is>
          <t>Risque</t>
        </is>
      </c>
      <c r="D8" t="inlineStr">
        <is>
          <t>Risk 5</t>
        </is>
      </c>
      <c r="E8" t="inlineStr">
        <is>
          <t>Hausse du prix des smartphones</t>
        </is>
      </c>
      <c r="F8" t="inlineStr">
        <is>
          <t>Actif</t>
        </is>
      </c>
      <c r="G8" t="inlineStr">
        <is>
          <t>Responsable A</t>
        </is>
      </c>
      <c r="H8" t="inlineStr">
        <is>
          <t>High</t>
        </is>
      </c>
      <c r="I8" t="inlineStr">
        <is>
          <t>High</t>
        </is>
      </c>
      <c r="J8" s="3" t="inlineStr">
        <is>
          <t>Impact sur la strategie de cycle de vie des mobiles (3 vs 5 ans)</t>
        </is>
      </c>
      <c r="K8" s="3" t="inlineStr">
        <is>
          <t>Etudier l'impact de la hausse annoncee par le fabricant ; replanifier le plan 2026 si besoin</t>
        </is>
      </c>
      <c r="L8" s="5" t="n">
        <v>46082</v>
      </c>
      <c r="M8" s="5" t="n"/>
      <c r="N8" s="3">
        <f>IFERROR(_xlfn.TEXTJOIN(CHAR(10),TRUE,_xlfn.SORTBY(_xlfn._xlws.FILTER(T_Journal[Ligne],T_Journal[ElementID]=[@ID]),_xlfn._xlws.FILTER(T_Journal[Date],T_Journal[ElementID]=[@ID]),-1)),"")</f>
        <v/>
      </c>
      <c r="O8">
        <f>IFERROR(_xlfn.MAXIFS(T_Journal[Date],T_Journal[ElementID],[@ID])&gt;=Config!$C$3,FALSE)</f>
        <v/>
      </c>
      <c r="P8">
        <f>IFERROR(_xlfn.XLOOKUP([@Section],T_SectionOrder[Section],T_SectionOrder[Ordre]),99)</f>
        <v/>
      </c>
      <c r="Q8">
        <f>IFERROR(_xlfn.XLOOKUP([@Section],T_SectionOrder[Section],T_SectionOrder[Label1])&amp;": "&amp;[@ChampFixe1],[@ChampFixe1])</f>
        <v/>
      </c>
      <c r="R8">
        <f>IFERROR(_xlfn.XLOOKUP([@Section],T_SectionOrder[Section],T_SectionOrder[Label2])&amp;": "&amp;[@ChampFixe2],[@ChampFixe2])</f>
        <v/>
      </c>
      <c r="S8">
        <f>IFERROR(_xlfn.XLOOKUP([@Section],T_SectionOrder[Section],T_SectionOrder[LabelSection]),[@Section])</f>
        <v/>
      </c>
    </row>
    <row r="9">
      <c r="A9" t="inlineStr">
        <is>
          <t>E008</t>
        </is>
      </c>
      <c r="B9" t="inlineStr">
        <is>
          <t>EUS</t>
        </is>
      </c>
      <c r="C9" t="inlineStr">
        <is>
          <t>Decision</t>
        </is>
      </c>
      <c r="D9" t="inlineStr">
        <is>
          <t>Decision 1</t>
        </is>
      </c>
      <c r="E9" t="inlineStr">
        <is>
          <t>Reunion sur site avec une filiale etrangere</t>
        </is>
      </c>
      <c r="F9" t="inlineStr">
        <is>
          <t>Cloture</t>
        </is>
      </c>
      <c r="G9" t="inlineStr">
        <is>
          <t>Responsable A</t>
        </is>
      </c>
      <c r="H9" t="inlineStr"/>
      <c r="I9" t="inlineStr"/>
      <c r="J9" s="3" t="inlineStr">
        <is>
          <t>Confirmer la date et l'agenda de la reunion</t>
        </is>
      </c>
      <c r="K9" s="3" t="inlineStr"/>
      <c r="L9" s="5" t="n">
        <v>46160</v>
      </c>
      <c r="M9" s="5" t="n">
        <v>46199</v>
      </c>
      <c r="N9" s="3">
        <f>IFERROR(_xlfn.TEXTJOIN(CHAR(10),TRUE,_xlfn.SORTBY(_xlfn._xlws.FILTER(T_Journal[Ligne],T_Journal[ElementID]=[@ID]),_xlfn._xlws.FILTER(T_Journal[Date],T_Journal[ElementID]=[@ID]),-1)),"")</f>
        <v/>
      </c>
      <c r="O9">
        <f>IFERROR(_xlfn.MAXIFS(T_Journal[Date],T_Journal[ElementID],[@ID])&gt;=Config!$C$3,FALSE)</f>
        <v/>
      </c>
      <c r="P9">
        <f>IFERROR(_xlfn.XLOOKUP([@Section],T_SectionOrder[Section],T_SectionOrder[Ordre]),99)</f>
        <v/>
      </c>
      <c r="Q9">
        <f>IFERROR(_xlfn.XLOOKUP([@Section],T_SectionOrder[Section],T_SectionOrder[Label1])&amp;": "&amp;[@ChampFixe1],[@ChampFixe1])</f>
        <v/>
      </c>
      <c r="R9">
        <f>IFERROR(_xlfn.XLOOKUP([@Section],T_SectionOrder[Section],T_SectionOrder[Label2])&amp;": "&amp;[@ChampFixe2],[@ChampFixe2])</f>
        <v/>
      </c>
      <c r="S9">
        <f>IFERROR(_xlfn.XLOOKUP([@Section],T_SectionOrder[Section],T_SectionOrder[LabelSection]),[@Section])</f>
        <v/>
      </c>
    </row>
    <row r="10">
      <c r="A10" t="inlineStr">
        <is>
          <t>E009</t>
        </is>
      </c>
      <c r="B10" t="inlineStr">
        <is>
          <t>EUS</t>
        </is>
      </c>
      <c r="C10" t="inlineStr">
        <is>
          <t>Finance</t>
        </is>
      </c>
      <c r="D10" t="inlineStr">
        <is>
          <t>Bcase</t>
        </is>
      </c>
      <c r="E10" t="inlineStr">
        <is>
          <t>Impacts a venir sur le budget Laptop</t>
        </is>
      </c>
      <c r="F10" t="inlineStr">
        <is>
          <t>Actif</t>
        </is>
      </c>
      <c r="G10" t="inlineStr">
        <is>
          <t>Responsable A</t>
        </is>
      </c>
      <c r="H10" t="inlineStr"/>
      <c r="I10" t="inlineStr"/>
      <c r="J10" s="3" t="inlineStr">
        <is>
          <t>Achat de materiel specifique hors budget initial</t>
        </is>
      </c>
      <c r="K10" s="3" t="inlineStr">
        <is>
          <t>Suivi des demandes complementaires</t>
        </is>
      </c>
      <c r="L10" s="5" t="n">
        <v>46192</v>
      </c>
      <c r="M10" s="5" t="n"/>
      <c r="N10" s="3">
        <f>IFERROR(_xlfn.TEXTJOIN(CHAR(10),TRUE,_xlfn.SORTBY(_xlfn._xlws.FILTER(T_Journal[Ligne],T_Journal[ElementID]=[@ID]),_xlfn._xlws.FILTER(T_Journal[Date],T_Journal[ElementID]=[@ID]),-1)),"")</f>
        <v/>
      </c>
      <c r="O10">
        <f>IFERROR(_xlfn.MAXIFS(T_Journal[Date],T_Journal[ElementID],[@ID])&gt;=Config!$C$3,FALSE)</f>
        <v/>
      </c>
      <c r="P10">
        <f>IFERROR(_xlfn.XLOOKUP([@Section],T_SectionOrder[Section],T_SectionOrder[Ordre]),99)</f>
        <v/>
      </c>
      <c r="Q10">
        <f>IFERROR(_xlfn.XLOOKUP([@Section],T_SectionOrder[Section],T_SectionOrder[Label1])&amp;": "&amp;[@ChampFixe1],[@ChampFixe1])</f>
        <v/>
      </c>
      <c r="R10">
        <f>IFERROR(_xlfn.XLOOKUP([@Section],T_SectionOrder[Section],T_SectionOrder[Label2])&amp;": "&amp;[@ChampFixe2],[@ChampFixe2])</f>
        <v/>
      </c>
      <c r="S10">
        <f>IFERROR(_xlfn.XLOOKUP([@Section],T_SectionOrder[Section],T_SectionOrder[LabelSection]),[@Section])</f>
        <v/>
      </c>
    </row>
    <row r="11">
      <c r="A11" t="inlineStr">
        <is>
          <t>E012</t>
        </is>
      </c>
      <c r="B11" t="inlineStr">
        <is>
          <t>MA</t>
        </is>
      </c>
      <c r="C11" t="inlineStr">
        <is>
          <t>Projet</t>
        </is>
      </c>
      <c r="D11" t="inlineStr">
        <is>
          <t>Project 24</t>
        </is>
      </c>
      <c r="E11" t="inlineStr">
        <is>
          <t>Suivi du pipeline d'acquisitions</t>
        </is>
      </c>
      <c r="F11" t="inlineStr">
        <is>
          <t>Actif</t>
        </is>
      </c>
      <c r="G11" t="inlineStr">
        <is>
          <t>Responsable A</t>
        </is>
      </c>
      <c r="H11" t="inlineStr"/>
      <c r="I11" t="inlineStr"/>
      <c r="J11" s="3" t="inlineStr">
        <is>
          <t>Suivi de plusieurs dossiers d'acquisition en cours</t>
        </is>
      </c>
      <c r="K11" s="3" t="inlineStr">
        <is>
          <t>N/A</t>
        </is>
      </c>
      <c r="L11" s="5" t="n">
        <v>46027</v>
      </c>
      <c r="M11" s="5" t="n"/>
      <c r="N11" s="3">
        <f>IFERROR(_xlfn.TEXTJOIN(CHAR(10),TRUE,_xlfn.SORTBY(_xlfn._xlws.FILTER(T_Journal[Ligne],T_Journal[ElementID]=[@ID]),_xlfn._xlws.FILTER(T_Journal[Date],T_Journal[ElementID]=[@ID]),-1)),"")</f>
        <v/>
      </c>
      <c r="O11">
        <f>IFERROR(_xlfn.MAXIFS(T_Journal[Date],T_Journal[ElementID],[@ID])&gt;=Config!$C$3,FALSE)</f>
        <v/>
      </c>
      <c r="P11">
        <f>IFERROR(_xlfn.XLOOKUP([@Section],T_SectionOrder[Section],T_SectionOrder[Ordre]),99)</f>
        <v/>
      </c>
      <c r="Q11">
        <f>IFERROR(_xlfn.XLOOKUP([@Section],T_SectionOrder[Section],T_SectionOrder[Label1])&amp;": "&amp;[@ChampFixe1],[@ChampFixe1])</f>
        <v/>
      </c>
      <c r="R11">
        <f>IFERROR(_xlfn.XLOOKUP([@Section],T_SectionOrder[Section],T_SectionOrder[Label2])&amp;": "&amp;[@ChampFixe2],[@ChampFixe2])</f>
        <v/>
      </c>
      <c r="S11">
        <f>IFERROR(_xlfn.XLOOKUP([@Section],T_SectionOrder[Section],T_SectionOrder[LabelSection]),[@Section])</f>
        <v/>
      </c>
    </row>
    <row r="12">
      <c r="A12" t="inlineStr">
        <is>
          <t>E013</t>
        </is>
      </c>
      <c r="B12" t="inlineStr">
        <is>
          <t>MA</t>
        </is>
      </c>
      <c r="C12" t="inlineStr">
        <is>
          <t>Projet</t>
        </is>
      </c>
      <c r="D12" t="inlineStr">
        <is>
          <t>Project 21</t>
        </is>
      </c>
      <c r="E12" t="inlineStr">
        <is>
          <t>IT Diligence - Cible A</t>
        </is>
      </c>
      <c r="F12" t="inlineStr">
        <is>
          <t>Actif</t>
        </is>
      </c>
      <c r="G12" t="inlineStr">
        <is>
          <t>Responsable A</t>
        </is>
      </c>
      <c r="H12" t="inlineStr"/>
      <c r="I12" t="inlineStr"/>
      <c r="J12" s="3" t="inlineStr">
        <is>
          <t>Scenario de fusion confirme cote acheteur</t>
        </is>
      </c>
      <c r="K12" s="3" t="inlineStr">
        <is>
          <t>Planifier les ateliers d'analyse des ecarts (GAP)</t>
        </is>
      </c>
      <c r="L12" s="5" t="n">
        <v>46157</v>
      </c>
      <c r="M12" s="5" t="n"/>
      <c r="N12" s="3">
        <f>IFERROR(_xlfn.TEXTJOIN(CHAR(10),TRUE,_xlfn.SORTBY(_xlfn._xlws.FILTER(T_Journal[Ligne],T_Journal[ElementID]=[@ID]),_xlfn._xlws.FILTER(T_Journal[Date],T_Journal[ElementID]=[@ID]),-1)),"")</f>
        <v/>
      </c>
      <c r="O12">
        <f>IFERROR(_xlfn.MAXIFS(T_Journal[Date],T_Journal[ElementID],[@ID])&gt;=Config!$C$3,FALSE)</f>
        <v/>
      </c>
      <c r="P12">
        <f>IFERROR(_xlfn.XLOOKUP([@Section],T_SectionOrder[Section],T_SectionOrder[Ordre]),99)</f>
        <v/>
      </c>
      <c r="Q12">
        <f>IFERROR(_xlfn.XLOOKUP([@Section],T_SectionOrder[Section],T_SectionOrder[Label1])&amp;": "&amp;[@ChampFixe1],[@ChampFixe1])</f>
        <v/>
      </c>
      <c r="R12">
        <f>IFERROR(_xlfn.XLOOKUP([@Section],T_SectionOrder[Section],T_SectionOrder[Label2])&amp;": "&amp;[@ChampFixe2],[@ChampFixe2])</f>
        <v/>
      </c>
      <c r="S12">
        <f>IFERROR(_xlfn.XLOOKUP([@Section],T_SectionOrder[Section],T_SectionOrder[LabelSection]),[@Section])</f>
        <v/>
      </c>
    </row>
    <row r="13">
      <c r="A13" t="inlineStr">
        <is>
          <t>E014</t>
        </is>
      </c>
      <c r="B13" t="inlineStr">
        <is>
          <t>MA</t>
        </is>
      </c>
      <c r="C13" t="inlineStr">
        <is>
          <t>Projet</t>
        </is>
      </c>
      <c r="D13" t="inlineStr">
        <is>
          <t>Project 30</t>
        </is>
      </c>
      <c r="E13" t="inlineStr">
        <is>
          <t>IT Diligence - Cible B</t>
        </is>
      </c>
      <c r="F13" t="inlineStr">
        <is>
          <t>Actif</t>
        </is>
      </c>
      <c r="G13" t="inlineStr">
        <is>
          <t>Responsable A</t>
        </is>
      </c>
      <c r="H13" t="inlineStr"/>
      <c r="I13" t="inlineStr"/>
      <c r="J13" s="3" t="inlineStr">
        <is>
          <t>Nouveau dossier en due diligence IT complete, calendrier serre</t>
        </is>
      </c>
      <c r="K13" s="3" t="inlineStr">
        <is>
          <t>Pas d'action de court terme planifiee</t>
        </is>
      </c>
      <c r="L13" s="5" t="n">
        <v>46161</v>
      </c>
      <c r="M13" s="5" t="n"/>
      <c r="N13" s="3">
        <f>IFERROR(_xlfn.TEXTJOIN(CHAR(10),TRUE,_xlfn.SORTBY(_xlfn._xlws.FILTER(T_Journal[Ligne],T_Journal[ElementID]=[@ID]),_xlfn._xlws.FILTER(T_Journal[Date],T_Journal[ElementID]=[@ID]),-1)),"")</f>
        <v/>
      </c>
      <c r="O13">
        <f>IFERROR(_xlfn.MAXIFS(T_Journal[Date],T_Journal[ElementID],[@ID])&gt;=Config!$C$3,FALSE)</f>
        <v/>
      </c>
      <c r="P13">
        <f>IFERROR(_xlfn.XLOOKUP([@Section],T_SectionOrder[Section],T_SectionOrder[Ordre]),99)</f>
        <v/>
      </c>
      <c r="Q13">
        <f>IFERROR(_xlfn.XLOOKUP([@Section],T_SectionOrder[Section],T_SectionOrder[Label1])&amp;": "&amp;[@ChampFixe1],[@ChampFixe1])</f>
        <v/>
      </c>
      <c r="R13">
        <f>IFERROR(_xlfn.XLOOKUP([@Section],T_SectionOrder[Section],T_SectionOrder[Label2])&amp;": "&amp;[@ChampFixe2],[@ChampFixe2])</f>
        <v/>
      </c>
      <c r="S13">
        <f>IFERROR(_xlfn.XLOOKUP([@Section],T_SectionOrder[Section],T_SectionOrder[LabelSection]),[@Section])</f>
        <v/>
      </c>
    </row>
    <row r="14">
      <c r="A14" t="inlineStr">
        <is>
          <t>E015</t>
        </is>
      </c>
      <c r="B14" t="inlineStr">
        <is>
          <t>MA</t>
        </is>
      </c>
      <c r="C14" t="inlineStr">
        <is>
          <t>Risque</t>
        </is>
      </c>
      <c r="D14" t="inlineStr">
        <is>
          <t>Risk 15</t>
        </is>
      </c>
      <c r="E14" t="inlineStr">
        <is>
          <t>Cession d'une filiale sans plan de separation</t>
        </is>
      </c>
      <c r="F14" t="inlineStr">
        <is>
          <t>Actif</t>
        </is>
      </c>
      <c r="G14" t="inlineStr">
        <is>
          <t>Responsable A</t>
        </is>
      </c>
      <c r="H14" t="inlineStr">
        <is>
          <t>Medium</t>
        </is>
      </c>
      <c r="I14" t="inlineStr">
        <is>
          <t>High</t>
        </is>
      </c>
      <c r="J14" s="3" t="inlineStr">
        <is>
          <t>La direction de l'entite concernee n'est pas informee du sujet</t>
        </is>
      </c>
      <c r="K14" s="3" t="inlineStr">
        <is>
          <t>Preparer le plan avec l'entite concernee</t>
        </is>
      </c>
      <c r="L14" s="5" t="n">
        <v>46174</v>
      </c>
      <c r="M14" s="5" t="n"/>
      <c r="N14" s="3">
        <f>IFERROR(_xlfn.TEXTJOIN(CHAR(10),TRUE,_xlfn.SORTBY(_xlfn._xlws.FILTER(T_Journal[Ligne],T_Journal[ElementID]=[@ID]),_xlfn._xlws.FILTER(T_Journal[Date],T_Journal[ElementID]=[@ID]),-1)),"")</f>
        <v/>
      </c>
      <c r="O14">
        <f>IFERROR(_xlfn.MAXIFS(T_Journal[Date],T_Journal[ElementID],[@ID])&gt;=Config!$C$3,FALSE)</f>
        <v/>
      </c>
      <c r="P14">
        <f>IFERROR(_xlfn.XLOOKUP([@Section],T_SectionOrder[Section],T_SectionOrder[Ordre]),99)</f>
        <v/>
      </c>
      <c r="Q14">
        <f>IFERROR(_xlfn.XLOOKUP([@Section],T_SectionOrder[Section],T_SectionOrder[Label1])&amp;": "&amp;[@ChampFixe1],[@ChampFixe1])</f>
        <v/>
      </c>
      <c r="R14">
        <f>IFERROR(_xlfn.XLOOKUP([@Section],T_SectionOrder[Section],T_SectionOrder[Label2])&amp;": "&amp;[@ChampFixe2],[@ChampFixe2])</f>
        <v/>
      </c>
      <c r="S14">
        <f>IFERROR(_xlfn.XLOOKUP([@Section],T_SectionOrder[Section],T_SectionOrder[LabelSection]),[@Section])</f>
        <v/>
      </c>
    </row>
    <row r="15">
      <c r="A15" t="inlineStr">
        <is>
          <t>E016</t>
        </is>
      </c>
      <c r="B15" t="inlineStr">
        <is>
          <t>MA</t>
        </is>
      </c>
      <c r="C15" t="inlineStr">
        <is>
          <t>Opportunite</t>
        </is>
      </c>
      <c r="D15" t="inlineStr">
        <is>
          <t>Opportunity 1</t>
        </is>
      </c>
      <c r="E15" t="inlineStr">
        <is>
          <t>Mutualisation de la methodologie Due Diligence</t>
        </is>
      </c>
      <c r="F15" t="inlineStr">
        <is>
          <t>Actif</t>
        </is>
      </c>
      <c r="G15" t="inlineStr">
        <is>
          <t>Responsable A</t>
        </is>
      </c>
      <c r="H15" t="inlineStr"/>
      <c r="I15" t="inlineStr"/>
      <c r="J15" s="3" t="inlineStr">
        <is>
          <t>Reutiliser le cadre IT Due Dil sur les futurs dossiers</t>
        </is>
      </c>
      <c r="K15" s="3" t="inlineStr">
        <is>
          <t>Formaliser le cadre pour les auditeurs externes</t>
        </is>
      </c>
      <c r="L15" s="5" t="n">
        <v>46202</v>
      </c>
      <c r="M15" s="5" t="n"/>
      <c r="N15" s="3">
        <f>IFERROR(_xlfn.TEXTJOIN(CHAR(10),TRUE,_xlfn.SORTBY(_xlfn._xlws.FILTER(T_Journal[Ligne],T_Journal[ElementID]=[@ID]),_xlfn._xlws.FILTER(T_Journal[Date],T_Journal[ElementID]=[@ID]),-1)),"")</f>
        <v/>
      </c>
      <c r="O15">
        <f>IFERROR(_xlfn.MAXIFS(T_Journal[Date],T_Journal[ElementID],[@ID])&gt;=Config!$C$3,FALSE)</f>
        <v/>
      </c>
      <c r="P15">
        <f>IFERROR(_xlfn.XLOOKUP([@Section],T_SectionOrder[Section],T_SectionOrder[Ordre]),99)</f>
        <v/>
      </c>
      <c r="Q15">
        <f>IFERROR(_xlfn.XLOOKUP([@Section],T_SectionOrder[Section],T_SectionOrder[Label1])&amp;": "&amp;[@ChampFixe1],[@ChampFixe1])</f>
        <v/>
      </c>
      <c r="R15">
        <f>IFERROR(_xlfn.XLOOKUP([@Section],T_SectionOrder[Section],T_SectionOrder[Label2])&amp;": "&amp;[@ChampFixe2],[@ChampFixe2])</f>
        <v/>
      </c>
      <c r="S15">
        <f>IFERROR(_xlfn.XLOOKUP([@Section],T_SectionOrder[Section],T_SectionOrder[LabelSection]),[@Section])</f>
        <v/>
      </c>
    </row>
  </sheetData>
  <conditionalFormatting sqref="A2:M15">
    <cfRule type="expression" priority="1" dxfId="0">
      <formula>$O2=TRUE</formula>
    </cfRule>
  </conditionalFormatting>
  <dataValidations count="6">
    <dataValidation sqref="B2:B500" showDropDown="0" showInputMessage="0" showErrorMessage="0" allowBlank="1" type="list">
      <formula1>"EUS,MA"</formula1>
    </dataValidation>
    <dataValidation sqref="C2:C500" showDropDown="0" showInputMessage="0" showErrorMessage="0" allowBlank="1" type="list">
      <formula1>"Projet,Incident,Decision,Risque,Opportunite,Besoin,Finance,Autre"</formula1>
    </dataValidation>
    <dataValidation sqref="F2:F500" showDropDown="0" showInputMessage="0" showErrorMessage="0" allowBlank="1" type="list">
      <formula1>"Actif,Cloture,Annule,En pause"</formula1>
    </dataValidation>
    <dataValidation sqref="H2:H500" showDropDown="0" showInputMessage="0" showErrorMessage="0" allowBlank="1" type="list">
      <formula1>"Low,Medium,High"</formula1>
    </dataValidation>
    <dataValidation sqref="H2:H500" showDropDown="0" showInputMessage="0" showErrorMessage="0" allowBlank="1" type="list">
      <formula1>"Low,Medium,High"</formula1>
    </dataValidation>
    <dataValidation sqref="I2:I500" showDropDown="0" showInputMessage="0" showErrorMessage="0" allowBlank="1" type="list">
      <formula1>"Low,Medium,High"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3" customWidth="1" min="3" max="3"/>
    <col width="9" customWidth="1" min="4" max="4"/>
    <col width="10" customWidth="1" min="5" max="5"/>
    <col width="60" customWidth="1" min="6" max="6"/>
    <col width="65" customWidth="1" min="7" max="7"/>
  </cols>
  <sheetData>
    <row r="1">
      <c r="A1" t="inlineStr">
        <is>
          <t>JournalID</t>
        </is>
      </c>
      <c r="B1" t="inlineStr">
        <is>
          <t>ElementID</t>
        </is>
      </c>
      <c r="C1" t="inlineStr">
        <is>
          <t>Date</t>
        </is>
      </c>
      <c r="D1" t="inlineStr">
        <is>
          <t>Semaine</t>
        </is>
      </c>
      <c r="E1" t="inlineStr">
        <is>
          <t>Auteur</t>
        </is>
      </c>
      <c r="F1" t="inlineStr">
        <is>
          <t>Texte</t>
        </is>
      </c>
      <c r="G1" t="inlineStr">
        <is>
          <t>Ligne</t>
        </is>
      </c>
    </row>
    <row r="2">
      <c r="A2" t="inlineStr">
        <is>
          <t>J001</t>
        </is>
      </c>
      <c r="B2" t="inlineStr">
        <is>
          <t>E001</t>
        </is>
      </c>
      <c r="C2" s="5" t="n">
        <v>46181</v>
      </c>
      <c r="D2">
        <f>IF([@Date]="","","S"&amp;_xlfn.ISOWEEKNUM([@Date]))</f>
        <v/>
      </c>
      <c r="E2" t="inlineStr">
        <is>
          <t>RSP</t>
        </is>
      </c>
      <c r="F2" s="3" t="inlineStr">
        <is>
          <t>Perimetre du materiel a retirer verifie et confirme par le support</t>
        </is>
      </c>
      <c r="G2">
        <f>IF([@Date]="","","Update "&amp;TEXT([@Date],"DD/MM")&amp;" : "&amp;[@Texte])</f>
        <v/>
      </c>
    </row>
    <row r="3">
      <c r="A3" t="inlineStr">
        <is>
          <t>J002</t>
        </is>
      </c>
      <c r="B3" t="inlineStr">
        <is>
          <t>E001</t>
        </is>
      </c>
      <c r="C3" s="5" t="n">
        <v>46188</v>
      </c>
      <c r="D3">
        <f>IF([@Date]="","","S"&amp;_xlfn.ISOWEEKNUM([@Date]))</f>
        <v/>
      </c>
      <c r="E3" t="inlineStr">
        <is>
          <t>RSP</t>
        </is>
      </c>
      <c r="F3" s="3" t="inlineStr">
        <is>
          <t>Prochaine action prevue la semaine suivante</t>
        </is>
      </c>
      <c r="G3">
        <f>IF([@Date]="","","Update "&amp;TEXT([@Date],"DD/MM")&amp;" : "&amp;[@Texte])</f>
        <v/>
      </c>
    </row>
    <row r="4">
      <c r="A4" t="inlineStr">
        <is>
          <t>J003</t>
        </is>
      </c>
      <c r="B4" t="inlineStr">
        <is>
          <t>E001</t>
        </is>
      </c>
      <c r="C4" s="5" t="n">
        <v>46199</v>
      </c>
      <c r="D4">
        <f>IF([@Date]="","","S"&amp;_xlfn.ISOWEEKNUM([@Date]))</f>
        <v/>
      </c>
      <c r="E4" t="inlineStr">
        <is>
          <t>RSP</t>
        </is>
      </c>
      <c r="F4" s="3" t="inlineStr">
        <is>
          <t>Feu vert de la direction pour lancer l'operation de rationalisation</t>
        </is>
      </c>
      <c r="G4">
        <f>IF([@Date]="","","Update "&amp;TEXT([@Date],"DD/MM")&amp;" : "&amp;[@Texte])</f>
        <v/>
      </c>
    </row>
    <row r="5">
      <c r="A5" t="inlineStr">
        <is>
          <t>J004</t>
        </is>
      </c>
      <c r="B5" t="inlineStr">
        <is>
          <t>E001</t>
        </is>
      </c>
      <c r="C5" s="5" t="n">
        <v>46209</v>
      </c>
      <c r="D5">
        <f>IF([@Date]="","","S"&amp;_xlfn.ISOWEEKNUM([@Date]))</f>
        <v/>
      </c>
      <c r="E5" t="inlineStr">
        <is>
          <t>RSP</t>
        </is>
      </c>
      <c r="F5" s="3" t="inlineStr">
        <is>
          <t>Communication envoyee au prestataire pour resilier le support sur les equipements concernes</t>
        </is>
      </c>
      <c r="G5">
        <f>IF([@Date]="","","Update "&amp;TEXT([@Date],"DD/MM")&amp;" : "&amp;[@Texte])</f>
        <v/>
      </c>
    </row>
    <row r="6">
      <c r="A6" t="inlineStr">
        <is>
          <t>J005</t>
        </is>
      </c>
      <c r="B6" t="inlineStr">
        <is>
          <t>E001</t>
        </is>
      </c>
      <c r="C6" s="5" t="n">
        <v>46216</v>
      </c>
      <c r="D6">
        <f>IF([@Date]="","","S"&amp;_xlfn.ISOWEEKNUM([@Date]))</f>
        <v/>
      </c>
      <c r="E6" t="inlineStr">
        <is>
          <t>RSP</t>
        </is>
      </c>
      <c r="F6" s="3" t="inlineStr">
        <is>
          <t>Demande envoyee au prestataire pour un devis optimise sur l'enlevement du materiel</t>
        </is>
      </c>
      <c r="G6">
        <f>IF([@Date]="","","Update "&amp;TEXT([@Date],"DD/MM")&amp;" : "&amp;[@Texte])</f>
        <v/>
      </c>
    </row>
    <row r="7">
      <c r="A7" t="inlineStr">
        <is>
          <t>J006</t>
        </is>
      </c>
      <c r="B7" t="inlineStr">
        <is>
          <t>E002</t>
        </is>
      </c>
      <c r="C7" s="5" t="n">
        <v>46188</v>
      </c>
      <c r="D7">
        <f>IF([@Date]="","","S"&amp;_xlfn.ISOWEEKNUM([@Date]))</f>
        <v/>
      </c>
      <c r="E7" t="inlineStr">
        <is>
          <t>RSP</t>
        </is>
      </c>
      <c r="F7" s="3" t="inlineStr">
        <is>
          <t>Date de bascule confirmee avec l'operateur</t>
        </is>
      </c>
      <c r="G7">
        <f>IF([@Date]="","","Update "&amp;TEXT([@Date],"DD/MM")&amp;" : "&amp;[@Texte])</f>
        <v/>
      </c>
    </row>
    <row r="8">
      <c r="A8" t="inlineStr">
        <is>
          <t>J007</t>
        </is>
      </c>
      <c r="B8" t="inlineStr">
        <is>
          <t>E002</t>
        </is>
      </c>
      <c r="C8" s="5" t="n">
        <v>46199</v>
      </c>
      <c r="D8">
        <f>IF([@Date]="","","S"&amp;_xlfn.ISOWEEKNUM([@Date]))</f>
        <v/>
      </c>
      <c r="E8" t="inlineStr">
        <is>
          <t>RSP</t>
        </is>
      </c>
      <c r="F8" s="3" t="inlineStr">
        <is>
          <t>Cartes SIM envoyees aux utilisateurs</t>
        </is>
      </c>
      <c r="G8">
        <f>IF([@Date]="","","Update "&amp;TEXT([@Date],"DD/MM")&amp;" : "&amp;[@Texte])</f>
        <v/>
      </c>
    </row>
    <row r="9">
      <c r="A9" t="inlineStr">
        <is>
          <t>J008</t>
        </is>
      </c>
      <c r="B9" t="inlineStr">
        <is>
          <t>E002</t>
        </is>
      </c>
      <c r="C9" s="5" t="n">
        <v>46209</v>
      </c>
      <c r="D9">
        <f>IF([@Date]="","","S"&amp;_xlfn.ISOWEEKNUM([@Date]))</f>
        <v/>
      </c>
      <c r="E9" t="inlineStr">
        <is>
          <t>RSP</t>
        </is>
      </c>
      <c r="F9" s="3" t="inlineStr">
        <is>
          <t>Une dizaine d'utilisateurs n'ont pas recu leur nouvelle carte SIM apres escalade</t>
        </is>
      </c>
      <c r="G9">
        <f>IF([@Date]="","","Update "&amp;TEXT([@Date],"DD/MM")&amp;" : "&amp;[@Texte])</f>
        <v/>
      </c>
    </row>
    <row r="10">
      <c r="A10" t="inlineStr">
        <is>
          <t>J009</t>
        </is>
      </c>
      <c r="B10" t="inlineStr">
        <is>
          <t>E002</t>
        </is>
      </c>
      <c r="C10" s="5" t="n">
        <v>46216</v>
      </c>
      <c r="D10">
        <f>IF([@Date]="","","S"&amp;_xlfn.ISOWEEKNUM([@Date]))</f>
        <v/>
      </c>
      <c r="E10" t="inlineStr">
        <is>
          <t>RSP</t>
        </is>
      </c>
      <c r="F10" s="3" t="inlineStr">
        <is>
          <t>Portabilite realisee ; point avec le fabricant en cours</t>
        </is>
      </c>
      <c r="G10">
        <f>IF([@Date]="","","Update "&amp;TEXT([@Date],"DD/MM")&amp;" : "&amp;[@Texte])</f>
        <v/>
      </c>
    </row>
    <row r="11">
      <c r="A11" t="inlineStr">
        <is>
          <t>J010</t>
        </is>
      </c>
      <c r="B11" t="inlineStr">
        <is>
          <t>E003</t>
        </is>
      </c>
      <c r="C11" s="5" t="n">
        <v>46192</v>
      </c>
      <c r="D11">
        <f>IF([@Date]="","","S"&amp;_xlfn.ISOWEEKNUM([@Date]))</f>
        <v/>
      </c>
      <c r="E11" t="inlineStr">
        <is>
          <t>RSP</t>
        </is>
      </c>
      <c r="F11" s="3" t="inlineStr">
        <is>
          <t>L'equipe Workplace a lance l'integration du nouveau materiel</t>
        </is>
      </c>
      <c r="G11">
        <f>IF([@Date]="","","Update "&amp;TEXT([@Date],"DD/MM")&amp;" : "&amp;[@Texte])</f>
        <v/>
      </c>
    </row>
    <row r="12">
      <c r="A12" t="inlineStr">
        <is>
          <t>J011</t>
        </is>
      </c>
      <c r="B12" t="inlineStr">
        <is>
          <t>E003</t>
        </is>
      </c>
      <c r="C12" s="5" t="n">
        <v>46209</v>
      </c>
      <c r="D12">
        <f>IF([@Date]="","","S"&amp;_xlfn.ISOWEEKNUM([@Date]))</f>
        <v/>
      </c>
      <c r="E12" t="inlineStr">
        <is>
          <t>RSP</t>
        </is>
      </c>
      <c r="F12" s="3" t="inlineStr">
        <is>
          <t>Appel d'offres achat annule - aucune action supplementaire</t>
        </is>
      </c>
      <c r="G12">
        <f>IF([@Date]="","","Update "&amp;TEXT([@Date],"DD/MM")&amp;" : "&amp;[@Texte])</f>
        <v/>
      </c>
    </row>
    <row r="13">
      <c r="A13" t="inlineStr">
        <is>
          <t>J012</t>
        </is>
      </c>
      <c r="B13" t="inlineStr">
        <is>
          <t>E003</t>
        </is>
      </c>
      <c r="C13" s="5" t="n">
        <v>46216</v>
      </c>
      <c r="D13">
        <f>IF([@Date]="","","S"&amp;_xlfn.ISOWEEKNUM([@Date]))</f>
        <v/>
      </c>
      <c r="E13" t="inlineStr">
        <is>
          <t>RSP</t>
        </is>
      </c>
      <c r="F13" s="3" t="inlineStr">
        <is>
          <t>Achat de 2 unites specifiques confirme</t>
        </is>
      </c>
      <c r="G13">
        <f>IF([@Date]="","","Update "&amp;TEXT([@Date],"DD/MM")&amp;" : "&amp;[@Texte])</f>
        <v/>
      </c>
    </row>
    <row r="14">
      <c r="A14" t="inlineStr">
        <is>
          <t>J013</t>
        </is>
      </c>
      <c r="B14" t="inlineStr">
        <is>
          <t>E004</t>
        </is>
      </c>
      <c r="C14" s="5" t="n">
        <v>46181</v>
      </c>
      <c r="D14">
        <f>IF([@Date]="","","S"&amp;_xlfn.ISOWEEKNUM([@Date]))</f>
        <v/>
      </c>
      <c r="E14" t="inlineStr">
        <is>
          <t>RSP</t>
        </is>
      </c>
      <c r="F14" s="3" t="inlineStr">
        <is>
          <t>Materiel toujours non reconnecte au reseau, commande d'effacement non recuperee</t>
        </is>
      </c>
      <c r="G14">
        <f>IF([@Date]="","","Update "&amp;TEXT([@Date],"DD/MM")&amp;" : "&amp;[@Texte])</f>
        <v/>
      </c>
    </row>
    <row r="15">
      <c r="A15" t="inlineStr">
        <is>
          <t>J014</t>
        </is>
      </c>
      <c r="B15" t="inlineStr">
        <is>
          <t>E004</t>
        </is>
      </c>
      <c r="C15" s="5" t="n">
        <v>46209</v>
      </c>
      <c r="D15">
        <f>IF([@Date]="","","S"&amp;_xlfn.ISOWEEKNUM([@Date]))</f>
        <v/>
      </c>
      <c r="E15" t="inlineStr">
        <is>
          <t>RSP</t>
        </is>
      </c>
      <c r="F15" s="3" t="inlineStr">
        <is>
          <t>Materiel toujours non reconnecte au reseau</t>
        </is>
      </c>
      <c r="G15">
        <f>IF([@Date]="","","Update "&amp;TEXT([@Date],"DD/MM")&amp;" : "&amp;[@Texte])</f>
        <v/>
      </c>
    </row>
    <row r="16">
      <c r="A16" t="inlineStr">
        <is>
          <t>J015</t>
        </is>
      </c>
      <c r="B16" t="inlineStr">
        <is>
          <t>E004</t>
        </is>
      </c>
      <c r="C16" s="5" t="n">
        <v>46216</v>
      </c>
      <c r="D16">
        <f>IF([@Date]="","","S"&amp;_xlfn.ISOWEEKNUM([@Date]))</f>
        <v/>
      </c>
      <c r="E16" t="inlineStr">
        <is>
          <t>RSP</t>
        </is>
      </c>
      <c r="F16" s="3" t="inlineStr">
        <is>
          <t>Suivi regulier maintenu - pas de changement</t>
        </is>
      </c>
      <c r="G16">
        <f>IF([@Date]="","","Update "&amp;TEXT([@Date],"DD/MM")&amp;" : "&amp;[@Texte])</f>
        <v/>
      </c>
    </row>
    <row r="17">
      <c r="A17" t="inlineStr">
        <is>
          <t>J016</t>
        </is>
      </c>
      <c r="B17" t="inlineStr">
        <is>
          <t>E005</t>
        </is>
      </c>
      <c r="C17" s="5" t="n">
        <v>46181</v>
      </c>
      <c r="D17">
        <f>IF([@Date]="","","S"&amp;_xlfn.ISOWEEKNUM([@Date]))</f>
        <v/>
      </c>
      <c r="E17" t="inlineStr">
        <is>
          <t>RSP</t>
        </is>
      </c>
      <c r="F17" s="3" t="inlineStr">
        <is>
          <t>Remplacement du materiel planifie</t>
        </is>
      </c>
      <c r="G17">
        <f>IF([@Date]="","","Update "&amp;TEXT([@Date],"DD/MM")&amp;" : "&amp;[@Texte])</f>
        <v/>
      </c>
    </row>
    <row r="18">
      <c r="A18" t="inlineStr">
        <is>
          <t>J017</t>
        </is>
      </c>
      <c r="B18" t="inlineStr">
        <is>
          <t>E005</t>
        </is>
      </c>
      <c r="C18" s="5" t="n">
        <v>46188</v>
      </c>
      <c r="D18">
        <f>IF([@Date]="","","S"&amp;_xlfn.ISOWEEKNUM([@Date]))</f>
        <v/>
      </c>
      <c r="E18" t="inlineStr">
        <is>
          <t>RSP</t>
        </is>
      </c>
      <c r="F18" s="3" t="inlineStr">
        <is>
          <t>Operation realisee - a retirer du reporting</t>
        </is>
      </c>
      <c r="G18">
        <f>IF([@Date]="","","Update "&amp;TEXT([@Date],"DD/MM")&amp;" : "&amp;[@Texte])</f>
        <v/>
      </c>
    </row>
    <row r="19">
      <c r="A19" t="inlineStr">
        <is>
          <t>J018</t>
        </is>
      </c>
      <c r="B19" t="inlineStr">
        <is>
          <t>E006</t>
        </is>
      </c>
      <c r="C19" s="5" t="n">
        <v>46181</v>
      </c>
      <c r="D19">
        <f>IF([@Date]="","","S"&amp;_xlfn.ISOWEEKNUM([@Date]))</f>
        <v/>
      </c>
      <c r="E19" t="inlineStr">
        <is>
          <t>RSP</t>
        </is>
      </c>
      <c r="F19" s="3" t="inlineStr">
        <is>
          <t>Option retiree du portail libre-service pour le perimetre concerne</t>
        </is>
      </c>
      <c r="G19">
        <f>IF([@Date]="","","Update "&amp;TEXT([@Date],"DD/MM")&amp;" : "&amp;[@Texte])</f>
        <v/>
      </c>
    </row>
    <row r="20">
      <c r="A20" t="inlineStr">
        <is>
          <t>J019</t>
        </is>
      </c>
      <c r="B20" t="inlineStr">
        <is>
          <t>E006</t>
        </is>
      </c>
      <c r="C20" s="5" t="n">
        <v>46216</v>
      </c>
      <c r="D20">
        <f>IF([@Date]="","","S"&amp;_xlfn.ISOWEEKNUM([@Date]))</f>
        <v/>
      </c>
      <c r="E20" t="inlineStr">
        <is>
          <t>RSP</t>
        </is>
      </c>
      <c r="F20" s="3" t="inlineStr">
        <is>
          <t>Sujet revu avec la Securite - refonte du processus en cours</t>
        </is>
      </c>
      <c r="G20">
        <f>IF([@Date]="","","Update "&amp;TEXT([@Date],"DD/MM")&amp;" : "&amp;[@Texte])</f>
        <v/>
      </c>
    </row>
    <row r="21">
      <c r="A21" t="inlineStr">
        <is>
          <t>J020</t>
        </is>
      </c>
      <c r="B21" t="inlineStr">
        <is>
          <t>E007</t>
        </is>
      </c>
      <c r="C21" s="5" t="n">
        <v>46174</v>
      </c>
      <c r="D21">
        <f>IF([@Date]="","","S"&amp;_xlfn.ISOWEEKNUM([@Date]))</f>
        <v/>
      </c>
      <c r="E21" t="inlineStr">
        <is>
          <t>RSP</t>
        </is>
      </c>
      <c r="F21" s="3" t="inlineStr">
        <is>
          <t>Etude de l'impact de la hausse annoncee par le fabricant lancee</t>
        </is>
      </c>
      <c r="G21">
        <f>IF([@Date]="","","Update "&amp;TEXT([@Date],"DD/MM")&amp;" : "&amp;[@Texte])</f>
        <v/>
      </c>
    </row>
    <row r="22">
      <c r="A22" t="inlineStr">
        <is>
          <t>J021</t>
        </is>
      </c>
      <c r="B22" t="inlineStr">
        <is>
          <t>E007</t>
        </is>
      </c>
      <c r="C22" s="5" t="n">
        <v>46216</v>
      </c>
      <c r="D22">
        <f>IF([@Date]="","","S"&amp;_xlfn.ISOWEEKNUM([@Date]))</f>
        <v/>
      </c>
      <c r="E22" t="inlineStr">
        <is>
          <t>RSP</t>
        </is>
      </c>
      <c r="F22" s="3" t="inlineStr">
        <is>
          <t>Possible replanification du plan de renouvellement 2026 a l'etude</t>
        </is>
      </c>
      <c r="G22">
        <f>IF([@Date]="","","Update "&amp;TEXT([@Date],"DD/MM")&amp;" : "&amp;[@Texte])</f>
        <v/>
      </c>
    </row>
    <row r="23">
      <c r="A23" t="inlineStr">
        <is>
          <t>J022</t>
        </is>
      </c>
      <c r="B23" t="inlineStr">
        <is>
          <t>E008</t>
        </is>
      </c>
      <c r="C23" s="5" t="n">
        <v>46192</v>
      </c>
      <c r="D23">
        <f>IF([@Date]="","","S"&amp;_xlfn.ISOWEEKNUM([@Date]))</f>
        <v/>
      </c>
      <c r="E23" t="inlineStr">
        <is>
          <t>RSP</t>
        </is>
      </c>
      <c r="F23" s="3" t="inlineStr">
        <is>
          <t>Visite realisee, compte-rendu en preparation</t>
        </is>
      </c>
      <c r="G23">
        <f>IF([@Date]="","","Update "&amp;TEXT([@Date],"DD/MM")&amp;" : "&amp;[@Texte])</f>
        <v/>
      </c>
    </row>
    <row r="24">
      <c r="A24" t="inlineStr">
        <is>
          <t>J023</t>
        </is>
      </c>
      <c r="B24" t="inlineStr">
        <is>
          <t>E008</t>
        </is>
      </c>
      <c r="C24" s="5" t="n">
        <v>46199</v>
      </c>
      <c r="D24">
        <f>IF([@Date]="","","S"&amp;_xlfn.ISOWEEKNUM([@Date]))</f>
        <v/>
      </c>
      <c r="E24" t="inlineStr">
        <is>
          <t>RSP</t>
        </is>
      </c>
      <c r="F24" s="3" t="inlineStr">
        <is>
          <t>Compte-rendu livre - sujet retire du prochain reporting</t>
        </is>
      </c>
      <c r="G24">
        <f>IF([@Date]="","","Update "&amp;TEXT([@Date],"DD/MM")&amp;" : "&amp;[@Texte])</f>
        <v/>
      </c>
    </row>
    <row r="25">
      <c r="A25" t="inlineStr">
        <is>
          <t>J024</t>
        </is>
      </c>
      <c r="B25" t="inlineStr">
        <is>
          <t>E009</t>
        </is>
      </c>
      <c r="C25" s="5" t="n">
        <v>46192</v>
      </c>
      <c r="D25">
        <f>IF([@Date]="","","S"&amp;_xlfn.ISOWEEKNUM([@Date]))</f>
        <v/>
      </c>
      <c r="E25" t="inlineStr">
        <is>
          <t>RSP</t>
        </is>
      </c>
      <c r="F25" s="3" t="inlineStr">
        <is>
          <t>Besoin de materiel specifique hors budget confirme</t>
        </is>
      </c>
      <c r="G25">
        <f>IF([@Date]="","","Update "&amp;TEXT([@Date],"DD/MM")&amp;" : "&amp;[@Texte])</f>
        <v/>
      </c>
    </row>
    <row r="26">
      <c r="A26" t="inlineStr">
        <is>
          <t>J025</t>
        </is>
      </c>
      <c r="B26" t="inlineStr">
        <is>
          <t>E009</t>
        </is>
      </c>
      <c r="C26" s="5" t="n">
        <v>46216</v>
      </c>
      <c r="D26">
        <f>IF([@Date]="","","S"&amp;_xlfn.ISOWEEKNUM([@Date]))</f>
        <v/>
      </c>
      <c r="E26" t="inlineStr">
        <is>
          <t>RSP</t>
        </is>
      </c>
      <c r="F26" s="3" t="inlineStr">
        <is>
          <t>Impact confirme - demandes complementaires encore a detailler</t>
        </is>
      </c>
      <c r="G26">
        <f>IF([@Date]="","","Update "&amp;TEXT([@Date],"DD/MM")&amp;" : "&amp;[@Texte])</f>
        <v/>
      </c>
    </row>
    <row r="27">
      <c r="A27" t="inlineStr">
        <is>
          <t>J026</t>
        </is>
      </c>
      <c r="B27" t="inlineStr">
        <is>
          <t>E012</t>
        </is>
      </c>
      <c r="C27" s="5" t="n">
        <v>46199</v>
      </c>
      <c r="D27">
        <f>IF([@Date]="","","S"&amp;_xlfn.ISOWEEKNUM([@Date]))</f>
        <v/>
      </c>
      <c r="E27" t="inlineStr">
        <is>
          <t>RSP</t>
        </is>
      </c>
      <c r="F27" s="3" t="inlineStr">
        <is>
          <t>Suivi en cours, aucun point bloquant detecte</t>
        </is>
      </c>
      <c r="G27">
        <f>IF([@Date]="","","Update "&amp;TEXT([@Date],"DD/MM")&amp;" : "&amp;[@Texte])</f>
        <v/>
      </c>
    </row>
    <row r="28">
      <c r="A28" t="inlineStr">
        <is>
          <t>J027</t>
        </is>
      </c>
      <c r="B28" t="inlineStr">
        <is>
          <t>E012</t>
        </is>
      </c>
      <c r="C28" s="5" t="n">
        <v>46216</v>
      </c>
      <c r="D28">
        <f>IF([@Date]="","","S"&amp;_xlfn.ISOWEEKNUM([@Date]))</f>
        <v/>
      </c>
      <c r="E28" t="inlineStr">
        <is>
          <t>RSP</t>
        </is>
      </c>
      <c r="F28" s="3" t="inlineStr">
        <is>
          <t>Discussion contractuelle en cours sur un dossier ; nouvelle echeance de signature sur un autre</t>
        </is>
      </c>
      <c r="G28">
        <f>IF([@Date]="","","Update "&amp;TEXT([@Date],"DD/MM")&amp;" : "&amp;[@Texte])</f>
        <v/>
      </c>
    </row>
    <row r="29">
      <c r="A29" t="inlineStr">
        <is>
          <t>J028</t>
        </is>
      </c>
      <c r="B29" t="inlineStr">
        <is>
          <t>E013</t>
        </is>
      </c>
      <c r="C29" s="5" t="n">
        <v>46195</v>
      </c>
      <c r="D29">
        <f>IF([@Date]="","","S"&amp;_xlfn.ISOWEEKNUM([@Date]))</f>
        <v/>
      </c>
      <c r="E29" t="inlineStr">
        <is>
          <t>RSP</t>
        </is>
      </c>
      <c r="F29" s="3" t="inlineStr">
        <is>
          <t>Planning macro partage aux parties prenantes ; lancement du jalon initial prevu</t>
        </is>
      </c>
      <c r="G29">
        <f>IF([@Date]="","","Update "&amp;TEXT([@Date],"DD/MM")&amp;" : "&amp;[@Texte])</f>
        <v/>
      </c>
    </row>
    <row r="30">
      <c r="A30" t="inlineStr">
        <is>
          <t>J029</t>
        </is>
      </c>
      <c r="B30" t="inlineStr">
        <is>
          <t>E013</t>
        </is>
      </c>
      <c r="C30" s="5" t="n">
        <v>46202</v>
      </c>
      <c r="D30">
        <f>IF([@Date]="","","S"&amp;_xlfn.ISOWEEKNUM([@Date]))</f>
        <v/>
      </c>
      <c r="E30" t="inlineStr">
        <is>
          <t>RSP</t>
        </is>
      </c>
      <c r="F30" s="3" t="inlineStr">
        <is>
          <t>Jalon initial valide par la direction ; ateliers d'analyse des ecarts planifies sur site</t>
        </is>
      </c>
      <c r="G30">
        <f>IF([@Date]="","","Update "&amp;TEXT([@Date],"DD/MM")&amp;" : "&amp;[@Texte])</f>
        <v/>
      </c>
    </row>
    <row r="31">
      <c r="A31" t="inlineStr">
        <is>
          <t>J030</t>
        </is>
      </c>
      <c r="B31" t="inlineStr">
        <is>
          <t>E013</t>
        </is>
      </c>
      <c r="C31" s="5" t="n">
        <v>46216</v>
      </c>
      <c r="D31">
        <f>IF([@Date]="","","S"&amp;_xlfn.ISOWEEKNUM([@Date]))</f>
        <v/>
      </c>
      <c r="E31" t="inlineStr">
        <is>
          <t>RSP</t>
        </is>
      </c>
      <c r="F31" s="3" t="inlineStr">
        <is>
          <t>Questionnaire IT recu de la cible, analyse en cours</t>
        </is>
      </c>
      <c r="G31">
        <f>IF([@Date]="","","Update "&amp;TEXT([@Date],"DD/MM")&amp;" : "&amp;[@Texte])</f>
        <v/>
      </c>
    </row>
    <row r="32">
      <c r="A32" t="inlineStr">
        <is>
          <t>J031</t>
        </is>
      </c>
      <c r="B32" t="inlineStr">
        <is>
          <t>E014</t>
        </is>
      </c>
      <c r="C32" s="5" t="n">
        <v>46195</v>
      </c>
      <c r="D32">
        <f>IF([@Date]="","","S"&amp;_xlfn.ISOWEEKNUM([@Date]))</f>
        <v/>
      </c>
      <c r="E32" t="inlineStr">
        <is>
          <t>RSP</t>
        </is>
      </c>
      <c r="F32" s="3" t="inlineStr">
        <is>
          <t>Restitution de la due diligence realisee</t>
        </is>
      </c>
      <c r="G32">
        <f>IF([@Date]="","","Update "&amp;TEXT([@Date],"DD/MM")&amp;" : "&amp;[@Texte])</f>
        <v/>
      </c>
    </row>
    <row r="33">
      <c r="A33" t="inlineStr">
        <is>
          <t>J032</t>
        </is>
      </c>
      <c r="B33" t="inlineStr">
        <is>
          <t>E014</t>
        </is>
      </c>
      <c r="C33" s="5" t="n">
        <v>46202</v>
      </c>
      <c r="D33">
        <f>IF([@Date]="","","S"&amp;_xlfn.ISOWEEKNUM([@Date]))</f>
        <v/>
      </c>
      <c r="E33" t="inlineStr">
        <is>
          <t>RSP</t>
        </is>
      </c>
      <c r="F33" s="3" t="inlineStr">
        <is>
          <t>Offre envoyee au vendeur ; synthese de due diligence partagee avec la direction IT groupe</t>
        </is>
      </c>
      <c r="G33">
        <f>IF([@Date]="","","Update "&amp;TEXT([@Date],"DD/MM")&amp;" : "&amp;[@Texte])</f>
        <v/>
      </c>
    </row>
    <row r="34">
      <c r="A34" t="inlineStr">
        <is>
          <t>J033</t>
        </is>
      </c>
      <c r="B34" t="inlineStr">
        <is>
          <t>E015</t>
        </is>
      </c>
      <c r="C34" s="5" t="n">
        <v>46202</v>
      </c>
      <c r="D34">
        <f>IF([@Date]="","","S"&amp;_xlfn.ISOWEEKNUM([@Date]))</f>
        <v/>
      </c>
      <c r="E34" t="inlineStr">
        <is>
          <t>RSP</t>
        </is>
      </c>
      <c r="F34" s="3" t="inlineStr">
        <is>
          <t>Voir infos detaillees dans le projet lie - plan a preparer avec l'entite concernee</t>
        </is>
      </c>
      <c r="G34">
        <f>IF([@Date]="","","Update "&amp;TEXT([@Date],"DD/MM")&amp;" : "&amp;[@Texte])</f>
        <v/>
      </c>
    </row>
    <row r="35">
      <c r="A35" t="inlineStr">
        <is>
          <t>J034</t>
        </is>
      </c>
      <c r="B35" t="inlineStr">
        <is>
          <t>E015</t>
        </is>
      </c>
      <c r="C35" s="5" t="n">
        <v>46216</v>
      </c>
      <c r="D35">
        <f>IF([@Date]="","","S"&amp;_xlfn.ISOWEEKNUM([@Date]))</f>
        <v/>
      </c>
      <c r="E35" t="inlineStr">
        <is>
          <t>RSP</t>
        </is>
      </c>
      <c r="F35" s="3" t="inlineStr">
        <is>
          <t>Reunion hebdomadaire avec l'acheteur montre une faible avancee ; point de synchronisation demande</t>
        </is>
      </c>
      <c r="G35">
        <f>IF([@Date]="","","Update "&amp;TEXT([@Date],"DD/MM")&amp;" : "&amp;[@Texte])</f>
        <v/>
      </c>
    </row>
    <row r="36">
      <c r="A36" t="inlineStr">
        <is>
          <t>J035</t>
        </is>
      </c>
      <c r="B36" t="inlineStr">
        <is>
          <t>E016</t>
        </is>
      </c>
      <c r="C36" s="5" t="n">
        <v>46202</v>
      </c>
      <c r="D36">
        <f>IF([@Date]="","","S"&amp;_xlfn.ISOWEEKNUM([@Date]))</f>
        <v/>
      </c>
      <c r="E36" t="inlineStr">
        <is>
          <t>RSP</t>
        </is>
      </c>
      <c r="F36" s="3" t="inlineStr">
        <is>
          <t>Reunion de suivi tenue pour presenter le processus</t>
        </is>
      </c>
      <c r="G36">
        <f>IF([@Date]="","","Update "&amp;TEXT([@Date],"DD/MM")&amp;" : "&amp;[@Texte])</f>
        <v/>
      </c>
    </row>
    <row r="37">
      <c r="A37" t="inlineStr">
        <is>
          <t>J036</t>
        </is>
      </c>
      <c r="B37" t="inlineStr">
        <is>
          <t>E016</t>
        </is>
      </c>
      <c r="C37" s="5" t="n">
        <v>46216</v>
      </c>
      <c r="D37">
        <f>IF([@Date]="","","S"&amp;_xlfn.ISOWEEKNUM([@Date]))</f>
        <v/>
      </c>
      <c r="E37" t="inlineStr">
        <is>
          <t>RSP</t>
        </is>
      </c>
      <c r="F37" s="3" t="inlineStr">
        <is>
          <t>Cadre considere mature - formalisation pour les auditeurs visee fin de mois</t>
        </is>
      </c>
      <c r="G37">
        <f>IF([@Date]="","","Update "&amp;TEXT([@Date],"DD/MM")&amp;" : "&amp;[@Texte])</f>
        <v/>
      </c>
    </row>
  </sheetData>
  <dataValidations count="1">
    <dataValidation sqref="B2:B2000" showDropDown="0" showInputMessage="0" showErrorMessage="0" allowBlank="1" type="list">
      <formula1>=T_Elements[ID]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6" customWidth="1" min="2" max="2"/>
    <col width="10" customWidth="1" min="3" max="3"/>
    <col width="30" customWidth="1" min="4" max="4"/>
    <col width="12" customWidth="1" min="5" max="5"/>
    <col width="16" customWidth="1" min="6" max="6"/>
    <col width="34" customWidth="1" min="7" max="7"/>
    <col width="46" customWidth="1" min="8" max="8"/>
    <col width="34" customWidth="1" min="9" max="9"/>
    <col width="11" customWidth="1" min="10" max="10"/>
  </cols>
  <sheetData>
    <row r="1">
      <c r="B1" s="1" t="inlineStr">
        <is>
          <t>Weekly Report — EUS</t>
        </is>
      </c>
    </row>
    <row r="2">
      <c r="B2" s="4" t="inlineStr">
        <is>
          <t>Manager Name</t>
        </is>
      </c>
      <c r="C2" t="inlineStr">
        <is>
          <t>Responsable A</t>
        </is>
      </c>
      <c r="D2" s="4" t="inlineStr">
        <is>
          <t>Scope</t>
        </is>
      </c>
      <c r="E2" t="inlineStr">
        <is>
          <t>EUS</t>
        </is>
      </c>
      <c r="F2" s="4" t="inlineStr">
        <is>
          <t>Week of</t>
        </is>
      </c>
      <c r="G2">
        <f>Config!$C$2</f>
        <v/>
      </c>
      <c r="H2" s="4" t="inlineStr">
        <is>
          <t>Sensitivity</t>
        </is>
      </c>
      <c r="I2">
        <f>_xlfn.XLOOKUP($E$2,T_Scopes[Code],T_Scopes[Sensibilite])</f>
        <v/>
      </c>
    </row>
    <row r="3"/>
    <row r="4"/>
    <row r="5">
      <c r="B5" s="7" t="inlineStr">
        <is>
          <t>Section</t>
        </is>
      </c>
      <c r="C5" s="7" t="inlineStr">
        <is>
          <t>N°</t>
        </is>
      </c>
      <c r="D5" s="7" t="inlineStr">
        <is>
          <t>Titre</t>
        </is>
      </c>
      <c r="E5" s="7" t="inlineStr">
        <is>
          <t>Statut</t>
        </is>
      </c>
      <c r="F5" s="7" t="inlineStr">
        <is>
          <t>Owner</t>
        </is>
      </c>
      <c r="G5" s="7" t="inlineStr">
        <is>
          <t>Champ 1</t>
        </is>
      </c>
      <c r="H5" s="7" t="inlineStr">
        <is>
          <t>Journal (mises a jour, plus recentes en premier)</t>
        </is>
      </c>
      <c r="I5" s="7" t="inlineStr">
        <is>
          <t>Champ 2</t>
        </is>
      </c>
      <c r="J5" s="7" t="inlineStr">
        <is>
          <t>MAJ semaine</t>
        </is>
      </c>
    </row>
    <row r="6">
      <c r="B6">
        <f>_xlfn.SORTBY(_xlfn.HSTACK(_xlfn._xlws.FILTER(T_Elements[SectionLabelComplet],T_Elements[Scope]=$E$2),_xlfn._xlws.FILTER(T_Elements[NumeroAffiche],T_Elements[Scope]=$E$2),_xlfn._xlws.FILTER(T_Elements[Titre],T_Elements[Scope]=$E$2),_xlfn._xlws.FILTER(T_Elements[Statut],T_Elements[Scope]=$E$2),_xlfn._xlws.FILTER(T_Elements[Owner],T_Elements[Scope]=$E$2),_xlfn._xlws.FILTER(T_Elements[Libelle1Complet],T_Elements[Scope]=$E$2),_xlfn._xlws.FILTER(T_Elements[JournalAgrege],T_Elements[Scope]=$E$2),_xlfn._xlws.FILTER(T_Elements[Libelle2Complet],T_Elements[Scope]=$E$2),_xlfn._xlws.FILTER(T_Elements[MAJSemaineCourante],T_Elements[Scope]=$E$2)),_xlfn._xlws.FILTER(T_Elements[OrdreSection],T_Elements[Scope]=$E$2),1,_xlfn._xlws.FILTER(T_Elements[NumeroAffiche],T_Elements[Scope]=$E$2),1)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B67" s="8">
        <f>"Sensitivity: "&amp;I2</f>
        <v/>
      </c>
    </row>
  </sheetData>
  <conditionalFormatting sqref="B6:J65">
    <cfRule type="expression" priority="1" dxfId="0">
      <formula>$J6=TRUE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6" customWidth="1" min="2" max="2"/>
    <col width="10" customWidth="1" min="3" max="3"/>
    <col width="30" customWidth="1" min="4" max="4"/>
    <col width="12" customWidth="1" min="5" max="5"/>
    <col width="16" customWidth="1" min="6" max="6"/>
    <col width="34" customWidth="1" min="7" max="7"/>
    <col width="46" customWidth="1" min="8" max="8"/>
    <col width="34" customWidth="1" min="9" max="9"/>
    <col width="11" customWidth="1" min="10" max="10"/>
  </cols>
  <sheetData>
    <row r="1">
      <c r="B1" s="1" t="inlineStr">
        <is>
          <t>Weekly Report — M&amp;A</t>
        </is>
      </c>
    </row>
    <row r="2">
      <c r="B2" s="4" t="inlineStr">
        <is>
          <t>Manager Name</t>
        </is>
      </c>
      <c r="C2" t="inlineStr">
        <is>
          <t>Responsable A</t>
        </is>
      </c>
      <c r="D2" s="4" t="inlineStr">
        <is>
          <t>Scope</t>
        </is>
      </c>
      <c r="E2" t="inlineStr">
        <is>
          <t>MA</t>
        </is>
      </c>
      <c r="F2" s="4" t="inlineStr">
        <is>
          <t>Week of</t>
        </is>
      </c>
      <c r="G2">
        <f>Config!$C$2</f>
        <v/>
      </c>
      <c r="H2" s="4" t="inlineStr">
        <is>
          <t>Sensitivity</t>
        </is>
      </c>
      <c r="I2">
        <f>_xlfn.XLOOKUP($E$2,T_Scopes[Code],T_Scopes[Sensibilite])</f>
        <v/>
      </c>
    </row>
    <row r="3"/>
    <row r="4"/>
    <row r="5">
      <c r="B5" s="7" t="inlineStr">
        <is>
          <t>Section</t>
        </is>
      </c>
      <c r="C5" s="7" t="inlineStr">
        <is>
          <t>N°</t>
        </is>
      </c>
      <c r="D5" s="7" t="inlineStr">
        <is>
          <t>Titre</t>
        </is>
      </c>
      <c r="E5" s="7" t="inlineStr">
        <is>
          <t>Statut</t>
        </is>
      </c>
      <c r="F5" s="7" t="inlineStr">
        <is>
          <t>Owner</t>
        </is>
      </c>
      <c r="G5" s="7" t="inlineStr">
        <is>
          <t>Champ 1</t>
        </is>
      </c>
      <c r="H5" s="7" t="inlineStr">
        <is>
          <t>Journal (mises a jour, plus recentes en premier)</t>
        </is>
      </c>
      <c r="I5" s="7" t="inlineStr">
        <is>
          <t>Champ 2</t>
        </is>
      </c>
      <c r="J5" s="7" t="inlineStr">
        <is>
          <t>MAJ semaine</t>
        </is>
      </c>
    </row>
    <row r="6">
      <c r="B6">
        <f>_xlfn.SORTBY(_xlfn.HSTACK(_xlfn._xlws.FILTER(T_Elements[SectionLabelComplet],T_Elements[Scope]=$E$2),_xlfn._xlws.FILTER(T_Elements[NumeroAffiche],T_Elements[Scope]=$E$2),_xlfn._xlws.FILTER(T_Elements[Titre],T_Elements[Scope]=$E$2),_xlfn._xlws.FILTER(T_Elements[Statut],T_Elements[Scope]=$E$2),_xlfn._xlws.FILTER(T_Elements[Owner],T_Elements[Scope]=$E$2),_xlfn._xlws.FILTER(T_Elements[Libelle1Complet],T_Elements[Scope]=$E$2),_xlfn._xlws.FILTER(T_Elements[JournalAgrege],T_Elements[Scope]=$E$2),_xlfn._xlws.FILTER(T_Elements[Libelle2Complet],T_Elements[Scope]=$E$2),_xlfn._xlws.FILTER(T_Elements[MAJSemaineCourante],T_Elements[Scope]=$E$2)),_xlfn._xlws.FILTER(T_Elements[OrdreSection],T_Elements[Scope]=$E$2),1,_xlfn._xlws.FILTER(T_Elements[NumeroAffiche],T_Elements[Scope]=$E$2),1)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B67" s="8">
        <f>"Sensitivity: "&amp;I2</f>
        <v/>
      </c>
    </row>
  </sheetData>
  <conditionalFormatting sqref="B6:J65">
    <cfRule type="expression" priority="1" dxfId="0">
      <formula>$J6=TRUE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2026-07-15T21:10:36Z</dcterms:created>
  <dcterms:modified xsi:type="dcterms:W3CDTF">2026-07-15T21:10:36Z</dcterms:modified>
</cp:coreProperties>
</file>